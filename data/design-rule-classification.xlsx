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ules" sheetId="1" state="visible" r:id="rId3"/>
    <sheet name="Summary" sheetId="2" state="visible" r:id="rId4"/>
    <sheet name="Taxonomy" sheetId="3" state="visible" r:id="rId5"/>
    <sheet name="Observation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<sst xmlns="http://schemas.openxmlformats.org/spreadsheetml/2006/main" count="1972" uniqueCount="687">
  <si>
    <t xml:space="preserve">ID</t>
  </si>
  <si>
    <t xml:space="preserve">System</t>
  </si>
  <si>
    <t xml:space="preserve">Component / pattern</t>
  </si>
  <si>
    <t xml:space="preserve">Rule (paraphrased)</t>
  </si>
  <si>
    <t xml:space="preserve">Class</t>
  </si>
  <si>
    <t xml:space="preserve">Checked by existing tool?</t>
  </si>
  <si>
    <t xml:space="preserve">Expressible in draft schema</t>
  </si>
  <si>
    <t xml:space="preserve">Notes</t>
  </si>
  <si>
    <t xml:space="preserve">Source</t>
  </si>
  <si>
    <t xml:space="preserve">R001</t>
  </si>
  <si>
    <t xml:space="preserve">Primer</t>
  </si>
  <si>
    <t xml:space="preserve">Button</t>
  </si>
  <si>
    <t xml:space="preserve">Only one primary button per page where possible</t>
  </si>
  <si>
    <t xml:space="preserve">S</t>
  </si>
  <si>
    <t xml:space="preserve">none</t>
  </si>
  <si>
    <t xml:space="preserve">yes</t>
  </si>
  <si>
    <t xml:space="preserve">Cardinality, scope=page</t>
  </si>
  <si>
    <t xml:space="preserve">https://primer.style/product/components/button/guidelines/</t>
  </si>
  <si>
    <t xml:space="preserve">R002</t>
  </si>
  <si>
    <t xml:space="preserve">Never more than one primary button in a group of buttons</t>
  </si>
  <si>
    <t xml:space="preserve">Cardinality, scope=group</t>
  </si>
  <si>
    <t xml:space="preserve">R003</t>
  </si>
  <si>
    <t xml:space="preserve">Danger variant should normally prompt a confirmation dialog</t>
  </si>
  <si>
    <t xml:space="preserve">Accompaniment: danger trigger requires confirmation</t>
  </si>
  <si>
    <t xml:space="preserve">R004</t>
  </si>
  <si>
    <t xml:space="preserve">Labels must not contain line breaks</t>
  </si>
  <si>
    <t xml:space="preserve">P</t>
  </si>
  <si>
    <t xml:space="preserve">Property: no newline in label</t>
  </si>
  <si>
    <t xml:space="preserve">R005</t>
  </si>
  <si>
    <t xml:space="preserve">Labels use sentence case, never all caps</t>
  </si>
  <si>
    <t xml:space="preserve">Regex heuristic; proper nouns need exceptions</t>
  </si>
  <si>
    <t xml:space="preserve">R006</t>
  </si>
  <si>
    <t xml:space="preserve">Do not remove default focus styles</t>
  </si>
  <si>
    <t xml:space="preserve">D</t>
  </si>
  <si>
    <t xml:space="preserve">axe (partial)</t>
  </si>
  <si>
    <t xml:space="preserve">ext</t>
  </si>
  <si>
    <t xml:space="preserve">Computed style at runtime</t>
  </si>
  <si>
    <t xml:space="preserve">R007</t>
  </si>
  <si>
    <t xml:space="preserve">Primary button goes at the end of a ButtonGroup</t>
  </si>
  <si>
    <t xml:space="preserve">Ordering within group</t>
  </si>
  <si>
    <t xml:space="preserve">R008</t>
  </si>
  <si>
    <t xml:space="preserve">Pair a primary with a default button, not multiple primaries</t>
  </si>
  <si>
    <t xml:space="preserve">Duplicate of cardinality rule, kept for count</t>
  </si>
  <si>
    <t xml:space="preserve">R009</t>
  </si>
  <si>
    <t xml:space="preserve">An inactive button must respond to click with a dialog explaining why</t>
  </si>
  <si>
    <t xml:space="preserve">Behavioural; needs event tracing</t>
  </si>
  <si>
    <t xml:space="preserve">R010</t>
  </si>
  <si>
    <t xml:space="preserve">When using an inactive button, something else on the page should explain the outage</t>
  </si>
  <si>
    <t xml:space="preserve">I</t>
  </si>
  <si>
    <t xml:space="preserve">no</t>
  </si>
  <si>
    <t xml:space="preserve">Page-level semantics</t>
  </si>
  <si>
    <t xml:space="preserve">R011</t>
  </si>
  <si>
    <t xml:space="preserve">Multiple selections shown as 'N selected', not comma-separated</t>
  </si>
  <si>
    <t xml:space="preserve">Literal pattern on label text</t>
  </si>
  <si>
    <t xml:space="preserve">R012</t>
  </si>
  <si>
    <t xml:space="preserve">Default variant used for most actions; other variants signal hierarchy</t>
  </si>
  <si>
    <t xml:space="preserve">Soft guidance</t>
  </si>
  <si>
    <t xml:space="preserve">R013</t>
  </si>
  <si>
    <t xml:space="preserve">Keep labels succinct</t>
  </si>
  <si>
    <t xml:space="preserve">No threshold given</t>
  </si>
  <si>
    <t xml:space="preserve">R014</t>
  </si>
  <si>
    <t xml:space="preserve">ButtonGroup</t>
  </si>
  <si>
    <t xml:space="preserve">Normally only default-type buttons inside a ButtonGroup</t>
  </si>
  <si>
    <t xml:space="preserve">Containment + variant</t>
  </si>
  <si>
    <t xml:space="preserve">https://primer.style/product/components/button-group/guidelines/</t>
  </si>
  <si>
    <t xml:space="preserve">R015</t>
  </si>
  <si>
    <t xml:space="preserve">At most one primary button in a ButtonGroup</t>
  </si>
  <si>
    <t xml:space="preserve">Cardinality</t>
  </si>
  <si>
    <t xml:space="preserve">R016</t>
  </si>
  <si>
    <t xml:space="preserve">Avoid grouping too many buttons</t>
  </si>
  <si>
    <t xml:space="preserve">Cardinality with unspecified threshold</t>
  </si>
  <si>
    <t xml:space="preserve">R017</t>
  </si>
  <si>
    <t xml:space="preserve">Do not use ButtonGroup to indicate selection; use SegmentedControl</t>
  </si>
  <si>
    <t xml:space="preserve">Requires knowing the group's purpose</t>
  </si>
  <si>
    <t xml:space="preserve">R018</t>
  </si>
  <si>
    <t xml:space="preserve">Do not use ButtonGroup as tab navigation; use UnderlineNav</t>
  </si>
  <si>
    <t xml:space="preserve">Purpose-based substitution</t>
  </si>
  <si>
    <t xml:space="preserve">R019</t>
  </si>
  <si>
    <t xml:space="preserve">Only group buttons with related functionality</t>
  </si>
  <si>
    <t xml:space="preserve">R020</t>
  </si>
  <si>
    <t xml:space="preserve">IconButton</t>
  </si>
  <si>
    <t xml:space="preserve">IconButton must have a tooltip with a text label</t>
  </si>
  <si>
    <t xml:space="preserve">Accompaniment; axe catches missing name, not tooltip</t>
  </si>
  <si>
    <t xml:space="preserve">https://primer.style/product/components/icon-button/guidelines/</t>
  </si>
  <si>
    <t xml:space="preserve">R021</t>
  </si>
  <si>
    <t xml:space="preserve">Only use IconButton when the icon is easily understood</t>
  </si>
  <si>
    <t xml:space="preserve">R022</t>
  </si>
  <si>
    <t xml:space="preserve">Dialog</t>
  </si>
  <si>
    <t xml:space="preserve">Title is required for every dialog</t>
  </si>
  <si>
    <t xml:space="preserve">Required property</t>
  </si>
  <si>
    <t xml:space="preserve">https://primer.style/product/components/dialog/guidelines/</t>
  </si>
  <si>
    <t xml:space="preserve">R023</t>
  </si>
  <si>
    <t xml:space="preserve">Close button is required and may not be visually hidden</t>
  </si>
  <si>
    <t xml:space="preserve">Required child + property</t>
  </si>
  <si>
    <t xml:space="preserve">R024</t>
  </si>
  <si>
    <t xml:space="preserve">Primary footer actions are right-aligned; secondary may sit left</t>
  </si>
  <si>
    <t xml:space="preserve">Ordering by role within footer</t>
  </si>
  <si>
    <t xml:space="preserve">R025</t>
  </si>
  <si>
    <t xml:space="preserve">Add a footer divider when the body scrolls</t>
  </si>
  <si>
    <t xml:space="preserve">Depends on rendered overflow</t>
  </si>
  <si>
    <t xml:space="preserve">R026</t>
  </si>
  <si>
    <t xml:space="preserve">Backdrop click dismisses, unless the dialog contains a form</t>
  </si>
  <si>
    <t xml:space="preserve">Conditional on containment</t>
  </si>
  <si>
    <t xml:space="preserve">R027</t>
  </si>
  <si>
    <t xml:space="preserve">Content stays inside a 16px safe area</t>
  </si>
  <si>
    <t xml:space="preserve">V</t>
  </si>
  <si>
    <t xml:space="preserve">stylelint (partial)</t>
  </si>
  <si>
    <t xml:space="preserve">Spacing token</t>
  </si>
  <si>
    <t xml:space="preserve">R028</t>
  </si>
  <si>
    <t xml:space="preserve">Close button sits 8px from the edges</t>
  </si>
  <si>
    <t xml:space="preserve">R029</t>
  </si>
  <si>
    <t xml:space="preserve">Footer buttons always inside the safe area</t>
  </si>
  <si>
    <t xml:space="preserve">Layout result</t>
  </si>
  <si>
    <t xml:space="preserve">R030</t>
  </si>
  <si>
    <t xml:space="preserve">Prefer single-column layouts; avoid a whole page inside a dialog</t>
  </si>
  <si>
    <t xml:space="preserve">Proxy: multi-column grid inside Dialog</t>
  </si>
  <si>
    <t xml:space="preserve">R031</t>
  </si>
  <si>
    <t xml:space="preserve">Avoid side navigation inside a dialog</t>
  </si>
  <si>
    <t xml:space="preserve">Containment: NavList not inside Dialog</t>
  </si>
  <si>
    <t xml:space="preserve">R032</t>
  </si>
  <si>
    <t xml:space="preserve">Up to two nested dialogs acceptable; more than three discouraged</t>
  </si>
  <si>
    <t xml:space="preserve">Nesting depth</t>
  </si>
  <si>
    <t xml:space="preserve">R033</t>
  </si>
  <si>
    <t xml:space="preserve">Esc closes only the top-most dialog</t>
  </si>
  <si>
    <t xml:space="preserve">Runtime focus/keyboard</t>
  </si>
  <si>
    <t xml:space="preserve">R034</t>
  </si>
  <si>
    <t xml:space="preserve">On closing a nested dialog, focus returns to its trigger in the parent dialog</t>
  </si>
  <si>
    <t xml:space="preserve">Runtime focus</t>
  </si>
  <si>
    <t xml:space="preserve">R035</t>
  </si>
  <si>
    <t xml:space="preserve">Dialogs must adapt to narrow viewports</t>
  </si>
  <si>
    <t xml:space="preserve">R</t>
  </si>
  <si>
    <t xml:space="preserve">Responsive transformation</t>
  </si>
  <si>
    <t xml:space="preserve">R036</t>
  </si>
  <si>
    <t xml:space="preserve">Centered dialogs keep 16px between frame and viewport</t>
  </si>
  <si>
    <t xml:space="preserve">R037</t>
  </si>
  <si>
    <t xml:space="preserve">Left side sheets reserved for global navigation</t>
  </si>
  <si>
    <t xml:space="preserve">Purpose semantics; proxy possible via region role</t>
  </si>
  <si>
    <t xml:space="preserve">R038</t>
  </si>
  <si>
    <t xml:space="preserve">Do not use side sheets for create/edit forms</t>
  </si>
  <si>
    <t xml:space="preserve">Containment: form inside position=left/right</t>
  </si>
  <si>
    <t xml:space="preserve">R039</t>
  </si>
  <si>
    <t xml:space="preserve">Side sheets must show a backdrop covering global navigation</t>
  </si>
  <si>
    <t xml:space="preserve">Required sibling/overlay</t>
  </si>
  <si>
    <t xml:space="preserve">R040</t>
  </si>
  <si>
    <t xml:space="preserve">Only one side sheet at a time</t>
  </si>
  <si>
    <t xml:space="preserve">R041</t>
  </si>
  <si>
    <t xml:space="preserve">Avoid side sheets on non-full-width pages unless a global action</t>
  </si>
  <si>
    <t xml:space="preserve">R042</t>
  </si>
  <si>
    <t xml:space="preserve">Bottom sheet is full width and dims the screen</t>
  </si>
  <si>
    <t xml:space="preserve">PL</t>
  </si>
  <si>
    <t xml:space="preserve">Narrow-viewport realisation</t>
  </si>
  <si>
    <t xml:space="preserve">R043</t>
  </si>
  <si>
    <t xml:space="preserve">Bottom sheet in landscape has max width 480px, centered</t>
  </si>
  <si>
    <t xml:space="preserve">Breakpoint-conditional value</t>
  </si>
  <si>
    <t xml:space="preserve">R044</t>
  </si>
  <si>
    <t xml:space="preserve">Dialogs with input fields must use full-screen variant on narrow viewports</t>
  </si>
  <si>
    <t xml:space="preserve">Conditional on containment + viewport</t>
  </si>
  <si>
    <t xml:space="preserve">R045</t>
  </si>
  <si>
    <t xml:space="preserve">Before using extra-large, consider a page instead</t>
  </si>
  <si>
    <t xml:space="preserve">R046</t>
  </si>
  <si>
    <t xml:space="preserve">Confirmation dialogs use the larger title size</t>
  </si>
  <si>
    <t xml:space="preserve">Role -&gt; property</t>
  </si>
  <si>
    <t xml:space="preserve">R047</t>
  </si>
  <si>
    <t xml:space="preserve">Delete pattern</t>
  </si>
  <si>
    <t xml:space="preserve">Use ConfirmationDialog for most delete confirmations</t>
  </si>
  <si>
    <t xml:space="preserve">K</t>
  </si>
  <si>
    <t xml:space="preserve">Kind substitution for role=confirmation</t>
  </si>
  <si>
    <t xml:space="preserve">https://primer.style/product/scenario-patterns/delete/</t>
  </si>
  <si>
    <t xml:space="preserve">R048</t>
  </si>
  <si>
    <t xml:space="preserve">Type-to-confirm flows use Dialog with returnFocusRef handled</t>
  </si>
  <si>
    <t xml:space="preserve">Required prop in a context</t>
  </si>
  <si>
    <t xml:space="preserve">R049</t>
  </si>
  <si>
    <t xml:space="preserve">Delete options in menus use ActionList.Item variant=danger with TrashIcon</t>
  </si>
  <si>
    <t xml:space="preserve">Role -&gt; variant + icon</t>
  </si>
  <si>
    <t xml:space="preserve">R050</t>
  </si>
  <si>
    <t xml:space="preserve">Confirm button is variant=danger with an explicit action label</t>
  </si>
  <si>
    <t xml:space="preserve">Variant + label not in {Yes,OK,Confirm}</t>
  </si>
  <si>
    <t xml:space="preserve">R051</t>
  </si>
  <si>
    <t xml:space="preserve">Show a loading state on confirm when deletion is slow</t>
  </si>
  <si>
    <t xml:space="preserve">Runtime</t>
  </si>
  <si>
    <t xml:space="preserve">R052</t>
  </si>
  <si>
    <t xml:space="preserve">After deleting the page's primary resource, redirect to the parent page</t>
  </si>
  <si>
    <t xml:space="preserve">Cross-screen flow; outside single-tree model</t>
  </si>
  <si>
    <t xml:space="preserve">R053</t>
  </si>
  <si>
    <t xml:space="preserve">After in-place deletion, move focus to a stable parent or previous control</t>
  </si>
  <si>
    <t xml:space="preserve">R054</t>
  </si>
  <si>
    <t xml:space="preserve">No visible success banner by default; announce via live region</t>
  </si>
  <si>
    <t xml:space="preserve">Absence check + runtime</t>
  </si>
  <si>
    <t xml:space="preserve">R055</t>
  </si>
  <si>
    <t xml:space="preserve">On failure keep the dialog open and show a critical Banner inside it</t>
  </si>
  <si>
    <t xml:space="preserve">Runtime state</t>
  </si>
  <si>
    <t xml:space="preserve">R056</t>
  </si>
  <si>
    <t xml:space="preserve">High-impact deletions live in a settings danger zone</t>
  </si>
  <si>
    <t xml:space="preserve">R057</t>
  </si>
  <si>
    <t xml:space="preserve">Type-to-confirm only for irreversible, wide-blast-radius actions</t>
  </si>
  <si>
    <t xml:space="preserve">Requires impact semantics</t>
  </si>
  <si>
    <t xml:space="preserve">R058</t>
  </si>
  <si>
    <t xml:space="preserve">No confirmation dialog for reversible actions</t>
  </si>
  <si>
    <t xml:space="preserve">Requires reversibility semantics</t>
  </si>
  <si>
    <t xml:space="preserve">R059</t>
  </si>
  <si>
    <t xml:space="preserve">Prefer undo over confirmation where reversal is possible</t>
  </si>
  <si>
    <t xml:space="preserve">R060</t>
  </si>
  <si>
    <t xml:space="preserve">Name what is affected; never a generic 'Are you sure?'</t>
  </si>
  <si>
    <t xml:space="preserve">Literal blacklist on title</t>
  </si>
  <si>
    <t xml:space="preserve">R061</t>
  </si>
  <si>
    <t xml:space="preserve">Confirm label states the action; not Yes/OK/Confirm</t>
  </si>
  <si>
    <t xml:space="preserve">Literal blacklist</t>
  </si>
  <si>
    <t xml:space="preserve">R062</t>
  </si>
  <si>
    <t xml:space="preserve">Say 'Remove' for disassociation and 'Delete' for destruction</t>
  </si>
  <si>
    <t xml:space="preserve">Needs data semantics</t>
  </si>
  <si>
    <t xml:space="preserve">R063</t>
  </si>
  <si>
    <t xml:space="preserve">Carbon</t>
  </si>
  <si>
    <t xml:space="preserve">Each page should have only one primary button</t>
  </si>
  <si>
    <t xml:space="preserve">https://carbondesignsystem.com/components/button/usage/</t>
  </si>
  <si>
    <t xml:space="preserve">R064</t>
  </si>
  <si>
    <t xml:space="preserve">Do not use buttons as navigation; use links</t>
  </si>
  <si>
    <t xml:space="preserve">eslint (partial)</t>
  </si>
  <si>
    <t xml:space="preserve">Button with href/navigation handler</t>
  </si>
  <si>
    <t xml:space="preserve">R065</t>
  </si>
  <si>
    <t xml:space="preserve">Primary appears once per screen, excluding header, modal and side panel</t>
  </si>
  <si>
    <t xml:space="preserve">Scoped cardinality with exclusions</t>
  </si>
  <si>
    <t xml:space="preserve">R066</t>
  </si>
  <si>
    <t xml:space="preserve">Secondary only in conjunction with a primary; never in isolation</t>
  </si>
  <si>
    <t xml:space="preserve">Accompaniment</t>
  </si>
  <si>
    <t xml:space="preserve">R067</t>
  </si>
  <si>
    <t xml:space="preserve">Secondary performs the negative action (Cancel/Back), never a positive one</t>
  </si>
  <si>
    <t xml:space="preserve">Proxy: label whitelist</t>
  </si>
  <si>
    <t xml:space="preserve">R068</t>
  </si>
  <si>
    <t xml:space="preserve">Danger available only as primary, tertiary or ghost styles</t>
  </si>
  <si>
    <t xml:space="preserve">Allowed variant combinations</t>
  </si>
  <si>
    <t xml:space="preserve">R069</t>
  </si>
  <si>
    <t xml:space="preserve">Label is left-aligned, never centered</t>
  </si>
  <si>
    <t xml:space="preserve">stylelint</t>
  </si>
  <si>
    <t xml:space="preserve">text-align</t>
  </si>
  <si>
    <t xml:space="preserve">R070</t>
  </si>
  <si>
    <t xml:space="preserve">Icon right-aligned in labelled buttons; centered in icon-only</t>
  </si>
  <si>
    <t xml:space="preserve">R071</t>
  </si>
  <si>
    <t xml:space="preserve">Do not mix button sizes within a group</t>
  </si>
  <si>
    <t xml:space="preserve">Sibling property equality</t>
  </si>
  <si>
    <t xml:space="preserve">R072</t>
  </si>
  <si>
    <t xml:space="preserve">A layout has a single high-emphasis button</t>
  </si>
  <si>
    <t xml:space="preserve">R073</t>
  </si>
  <si>
    <t xml:space="preserve">Never two high-emphasis buttons in a group</t>
  </si>
  <si>
    <t xml:space="preserve">R074</t>
  </si>
  <si>
    <t xml:space="preserve">Only group calls to action that relate to one another</t>
  </si>
  <si>
    <t xml:space="preserve">R075</t>
  </si>
  <si>
    <t xml:space="preserve">Primary is left-aligned on full pages, bottom-right in wizards and dialogs</t>
  </si>
  <si>
    <t xml:space="preserve">Context-conditional position</t>
  </si>
  <si>
    <t xml:space="preserve">R076</t>
  </si>
  <si>
    <t xml:space="preserve">Buttons inside notifications, search fields and data tables are right-aligned</t>
  </si>
  <si>
    <t xml:space="preserve">Containment -&gt; alignment</t>
  </si>
  <si>
    <t xml:space="preserve">R077</t>
  </si>
  <si>
    <t xml:space="preserve">Fixed-width button: 16px left padding, 64px right of label</t>
  </si>
  <si>
    <t xml:space="preserve">Spacing values</t>
  </si>
  <si>
    <t xml:space="preserve">R078</t>
  </si>
  <si>
    <t xml:space="preserve">Fluid-width buttons preferred over fixed in layouts</t>
  </si>
  <si>
    <t xml:space="preserve">R079</t>
  </si>
  <si>
    <t xml:space="preserve">Related buttons in a group have the same width</t>
  </si>
  <si>
    <t xml:space="preserve">Rendered width equality</t>
  </si>
  <si>
    <t xml:space="preserve">R080</t>
  </si>
  <si>
    <t xml:space="preserve">Fluid buttons are never left-aligned</t>
  </si>
  <si>
    <t xml:space="preserve">R081</t>
  </si>
  <si>
    <t xml:space="preserve">Tertiary buttons never used in fluid arrangements</t>
  </si>
  <si>
    <t xml:space="preserve">Variant forbidden in context</t>
  </si>
  <si>
    <t xml:space="preserve">R082</t>
  </si>
  <si>
    <t xml:space="preserve">1px $button-separator border between fluid buttons</t>
  </si>
  <si>
    <t xml:space="preserve">Token reference</t>
  </si>
  <si>
    <t xml:space="preserve">R083</t>
  </si>
  <si>
    <t xml:space="preserve">Primary sits right of secondary in dialogs/wizards, left on full pages</t>
  </si>
  <si>
    <t xml:space="preserve">Context-conditional ordering</t>
  </si>
  <si>
    <t xml:space="preserve">R084</t>
  </si>
  <si>
    <t xml:space="preserve">In vertical stacks the primary is always on top</t>
  </si>
  <si>
    <t xml:space="preserve">Ordering</t>
  </si>
  <si>
    <t xml:space="preserve">R085</t>
  </si>
  <si>
    <t xml:space="preserve">Two-button groups limited to listed combinations (e.g. primary+secondary)</t>
  </si>
  <si>
    <t xml:space="preserve">Allowed sibling combinations</t>
  </si>
  <si>
    <t xml:space="preserve">R086</t>
  </si>
  <si>
    <t xml:space="preserve">Three-button groups limited to listed combinations</t>
  </si>
  <si>
    <t xml:space="preserve">R087</t>
  </si>
  <si>
    <t xml:space="preserve">Do not use secondary alongside non-primary buttons</t>
  </si>
  <si>
    <t xml:space="preserve">R088</t>
  </si>
  <si>
    <t xml:space="preserve">Do not use tertiary with danger-tertiary</t>
  </si>
  <si>
    <t xml:space="preserve">R089</t>
  </si>
  <si>
    <t xml:space="preserve">Do not use primary with danger-ghost</t>
  </si>
  <si>
    <t xml:space="preserve">R090</t>
  </si>
  <si>
    <t xml:space="preserve">Do not use tertiary with danger-ghost</t>
  </si>
  <si>
    <t xml:space="preserve">R091</t>
  </si>
  <si>
    <t xml:space="preserve">Use {verb}+{noun} labels except for common actions</t>
  </si>
  <si>
    <t xml:space="preserve">Needs POS tagging; whitelist proxy</t>
  </si>
  <si>
    <t xml:space="preserve">R092</t>
  </si>
  <si>
    <t xml:space="preserve">Never a noun-only label</t>
  </si>
  <si>
    <t xml:space="preserve">Needs POS tagging</t>
  </si>
  <si>
    <t xml:space="preserve">R093</t>
  </si>
  <si>
    <t xml:space="preserve">Sentence case labels</t>
  </si>
  <si>
    <t xml:space="preserve">R094</t>
  </si>
  <si>
    <t xml:space="preserve">In RTL the button is mirrored: label right, icon left</t>
  </si>
  <si>
    <t xml:space="preserve">Locale realisation</t>
  </si>
  <si>
    <t xml:space="preserve">R095</t>
  </si>
  <si>
    <t xml:space="preserve">Wrap long labels to a second line; never truncate</t>
  </si>
  <si>
    <t xml:space="preserve">No text-overflow: ellipsis</t>
  </si>
  <si>
    <t xml:space="preserve">R096</t>
  </si>
  <si>
    <t xml:space="preserve">Primary takes default focus when a dialog opens with no other actionable control</t>
  </si>
  <si>
    <t xml:space="preserve">R097</t>
  </si>
  <si>
    <t xml:space="preserve">Enter on a non-actionable field activates the primary button</t>
  </si>
  <si>
    <t xml:space="preserve">R098</t>
  </si>
  <si>
    <t xml:space="preserve">Button is disabled while inline loading</t>
  </si>
  <si>
    <t xml:space="preserve">loading =&gt; disabled</t>
  </si>
  <si>
    <t xml:space="preserve">R099</t>
  </si>
  <si>
    <t xml:space="preserve">A second primary is allowed only inside a temporarily launched flow (e.g. side panel)</t>
  </si>
  <si>
    <t xml:space="preserve">Scoped exception</t>
  </si>
  <si>
    <t xml:space="preserve">R100</t>
  </si>
  <si>
    <t xml:space="preserve">Page header uses tertiary when content below has a primary; never primary in both</t>
  </si>
  <si>
    <t xml:space="preserve">Cross-region cardinality</t>
  </si>
  <si>
    <t xml:space="preserve">R101</t>
  </si>
  <si>
    <t xml:space="preserve">Data-table toolbar action is ghost if another primary exists on the page</t>
  </si>
  <si>
    <t xml:space="preserve">Cross-region conditional</t>
  </si>
  <si>
    <t xml:space="preserve">R102</t>
  </si>
  <si>
    <t xml:space="preserve">Ghost buttons in cards should touch two container edges</t>
  </si>
  <si>
    <t xml:space="preserve">Layout geometry</t>
  </si>
  <si>
    <t xml:space="preserve">R103</t>
  </si>
  <si>
    <t xml:space="preserve">Ghost button full width in side panels of 480px or narrower</t>
  </si>
  <si>
    <t xml:space="preserve">Container-size conditional</t>
  </si>
  <si>
    <t xml:space="preserve">R104</t>
  </si>
  <si>
    <t xml:space="preserve">Ghost label aligns with body text, not the button edge</t>
  </si>
  <si>
    <t xml:space="preserve">R105</t>
  </si>
  <si>
    <t xml:space="preserve">Required destructive steps use primary-danger; optional ones use tertiary/ghost-danger</t>
  </si>
  <si>
    <t xml:space="preserve">Needs workflow semantics</t>
  </si>
  <si>
    <t xml:space="preserve">R106</t>
  </si>
  <si>
    <t xml:space="preserve">Icons are 16px in buttons, 20px in large expressive buttons</t>
  </si>
  <si>
    <t xml:space="preserve">R107</t>
  </si>
  <si>
    <t xml:space="preserve">Icons always appear right of the label</t>
  </si>
  <si>
    <t xml:space="preserve">Note: Polaris says left</t>
  </si>
  <si>
    <t xml:space="preserve">R108</t>
  </si>
  <si>
    <t xml:space="preserve">Icon colour must match the label colour</t>
  </si>
  <si>
    <t xml:space="preserve">R109</t>
  </si>
  <si>
    <t xml:space="preserve">Icons must relate directly to the action</t>
  </si>
  <si>
    <t xml:space="preserve">R110</t>
  </si>
  <si>
    <t xml:space="preserve">8px between label and icon in ghost buttons</t>
  </si>
  <si>
    <t xml:space="preserve">R111</t>
  </si>
  <si>
    <t xml:space="preserve">Universal actions map to fixed icons (Delete -&gt; Trash can, Add -&gt; Add, ...)</t>
  </si>
  <si>
    <t xml:space="preserve">Label/action -&gt; icon mapping</t>
  </si>
  <si>
    <t xml:space="preserve">R112</t>
  </si>
  <si>
    <t xml:space="preserve">Never use a defined universal icon for a different action</t>
  </si>
  <si>
    <t xml:space="preserve">R113</t>
  </si>
  <si>
    <t xml:space="preserve">Any CTA opening a new tab shows the Launch icon</t>
  </si>
  <si>
    <t xml:space="preserve">target=_blank =&gt; icon</t>
  </si>
  <si>
    <t xml:space="preserve">R114</t>
  </si>
  <si>
    <t xml:space="preserve">Within a button group, all buttons have icons or none do</t>
  </si>
  <si>
    <t xml:space="preserve">Sibling consistency</t>
  </si>
  <si>
    <t xml:space="preserve">R115</t>
  </si>
  <si>
    <t xml:space="preserve">Use default icon variants, never filled (except status icons)</t>
  </si>
  <si>
    <t xml:space="preserve">Forbidden icon kinds</t>
  </si>
  <si>
    <t xml:space="preserve">R116</t>
  </si>
  <si>
    <t xml:space="preserve">Icon-only buttons used sparingly; only for recognisable icons or toolbars</t>
  </si>
  <si>
    <t xml:space="preserve">R117</t>
  </si>
  <si>
    <t xml:space="preserve">Icon-only buttons always require a tooltip</t>
  </si>
  <si>
    <t xml:space="preserve">R118</t>
  </si>
  <si>
    <t xml:space="preserve">Do not change the colour token of icon-only ghost buttons</t>
  </si>
  <si>
    <t xml:space="preserve">Token override forbidden</t>
  </si>
  <si>
    <t xml:space="preserve">R119</t>
  </si>
  <si>
    <t xml:space="preserve">Danger buttons cannot be icon-only</t>
  </si>
  <si>
    <t xml:space="preserve">variant=danger =&gt; label required</t>
  </si>
  <si>
    <t xml:space="preserve">R120</t>
  </si>
  <si>
    <t xml:space="preserve">Dialog pattern</t>
  </si>
  <si>
    <t xml:space="preserve">Title required; brief and describing the task</t>
  </si>
  <si>
    <t xml:space="preserve">Required prop; brevity is intent</t>
  </si>
  <si>
    <t xml:space="preserve">https://carbondesignsystem.com/patterns/dialog-pattern/</t>
  </si>
  <si>
    <t xml:space="preserve">R121</t>
  </si>
  <si>
    <t xml:space="preserve">Action labels are descriptive (Add, Delete, Save); avoid Done/OK</t>
  </si>
  <si>
    <t xml:space="preserve">R122</t>
  </si>
  <si>
    <t xml:space="preserve">Close X dismisses without submitting data</t>
  </si>
  <si>
    <t xml:space="preserve">R123</t>
  </si>
  <si>
    <t xml:space="preserve">Do not use a dialog for content unrelated to the workflow</t>
  </si>
  <si>
    <t xml:space="preserve">R124</t>
  </si>
  <si>
    <t xml:space="preserve">Do not display complex or large data in a dialog</t>
  </si>
  <si>
    <t xml:space="preserve">Proxy: DataTable containment</t>
  </si>
  <si>
    <t xml:space="preserve">R125</t>
  </si>
  <si>
    <t xml:space="preserve">Do not recreate a full page inside a dialog</t>
  </si>
  <si>
    <t xml:space="preserve">R126</t>
  </si>
  <si>
    <t xml:space="preserve">Dialogs must be user-triggered, never system-generated</t>
  </si>
  <si>
    <t xml:space="preserve">Event provenance</t>
  </si>
  <si>
    <t xml:space="preserve">R127</t>
  </si>
  <si>
    <t xml:space="preserve">Modal for critical/required input; non-modal for optional tasks</t>
  </si>
  <si>
    <t xml:space="preserve">R128</t>
  </si>
  <si>
    <t xml:space="preserve">Background-process alerts use a toast, not a dialog</t>
  </si>
  <si>
    <t xml:space="preserve">R129</t>
  </si>
  <si>
    <t xml:space="preserve">Confirmation dialogs: title and button reflect the action</t>
  </si>
  <si>
    <t xml:space="preserve">Literal pattern</t>
  </si>
  <si>
    <t xml:space="preserve">R130</t>
  </si>
  <si>
    <t xml:space="preserve">Destructive or irreversible confirmations use the transactional danger modal</t>
  </si>
  <si>
    <t xml:space="preserve">Role -&gt; variant</t>
  </si>
  <si>
    <t xml:space="preserve">R131</t>
  </si>
  <si>
    <t xml:space="preserve">Never nest modals</t>
  </si>
  <si>
    <t xml:space="preserve">Nesting depth = 0 (contrast: Primer allows 2)</t>
  </si>
  <si>
    <t xml:space="preserve">R132</t>
  </si>
  <si>
    <t xml:space="preserve">Never make a modal full page; use a page</t>
  </si>
  <si>
    <t xml:space="preserve">R133</t>
  </si>
  <si>
    <t xml:space="preserve">Passive modals close on outside click; transactional do not</t>
  </si>
  <si>
    <t xml:space="preserve">R134</t>
  </si>
  <si>
    <t xml:space="preserve">Cancel is the outermost left action; primary the outermost right</t>
  </si>
  <si>
    <t xml:space="preserve">R135</t>
  </si>
  <si>
    <t xml:space="preserve">Only one primary action per dialog</t>
  </si>
  <si>
    <t xml:space="preserve">R136</t>
  </si>
  <si>
    <t xml:space="preserve">Dialog buttons are full-bleed and attached to the bottom</t>
  </si>
  <si>
    <t xml:space="preserve">R137</t>
  </si>
  <si>
    <t xml:space="preserve">Single button: right side, 50% width, bleeds to edge</t>
  </si>
  <si>
    <t xml:space="preserve">R138</t>
  </si>
  <si>
    <t xml:space="preserve">Two buttons: secondary left, primary right, 50% each</t>
  </si>
  <si>
    <t xml:space="preserve">Ordering + width</t>
  </si>
  <si>
    <t xml:space="preserve">R139</t>
  </si>
  <si>
    <t xml:space="preserve">Three buttons: 25% each, right-aligned; only the rightmost may be primary</t>
  </si>
  <si>
    <t xml:space="preserve">R140</t>
  </si>
  <si>
    <t xml:space="preserve">Progress dialogs: Cancel ghost left; Previous secondary and Next primary right</t>
  </si>
  <si>
    <t xml:space="preserve">Role-based ordering</t>
  </si>
  <si>
    <t xml:space="preserve">R141</t>
  </si>
  <si>
    <t xml:space="preserve">On the final step the Next label changes to the final action</t>
  </si>
  <si>
    <t xml:space="preserve">Flow-dependent</t>
  </si>
  <si>
    <t xml:space="preserve">R142</t>
  </si>
  <si>
    <t xml:space="preserve">Initial focus on the first input; focus trapped until closed</t>
  </si>
  <si>
    <t xml:space="preserve">R143</t>
  </si>
  <si>
    <t xml:space="preserve">Body scrolls while header and footer stay fixed</t>
  </si>
  <si>
    <t xml:space="preserve">R144</t>
  </si>
  <si>
    <t xml:space="preserve">Validate before closing; invalid entries keep the dialog open with inline errors</t>
  </si>
  <si>
    <t xml:space="preserve">R145</t>
  </si>
  <si>
    <t xml:space="preserve">Inline validation runs on blur</t>
  </si>
  <si>
    <t xml:space="preserve">R146</t>
  </si>
  <si>
    <t xml:space="preserve">Server-side failure shows an inline notification</t>
  </si>
  <si>
    <t xml:space="preserve">R147</t>
  </si>
  <si>
    <t xml:space="preserve">Prefer bounded controls (radio, dropdown) to reduce invalid input</t>
  </si>
  <si>
    <t xml:space="preserve">R148</t>
  </si>
  <si>
    <t xml:space="preserve">While loading, overlay the body and disable the primary action</t>
  </si>
  <si>
    <t xml:space="preserve">R149</t>
  </si>
  <si>
    <t xml:space="preserve">Avoid links that navigate away from the dialog</t>
  </si>
  <si>
    <t xml:space="preserve">Containment: navigating Link inside Modal</t>
  </si>
  <si>
    <t xml:space="preserve">R150</t>
  </si>
  <si>
    <t xml:space="preserve">Avoid accordions and tabs inside dialogs</t>
  </si>
  <si>
    <t xml:space="preserve">Containment</t>
  </si>
  <si>
    <t xml:space="preserve">R151</t>
  </si>
  <si>
    <t xml:space="preserve">Avoid data tables in dialogs; if present, no batch actions</t>
  </si>
  <si>
    <t xml:space="preserve">Containment + child constraint</t>
  </si>
  <si>
    <t xml:space="preserve">R152</t>
  </si>
  <si>
    <t xml:space="preserve">Focus returns to the invoking element on close</t>
  </si>
  <si>
    <t xml:space="preserve">R153</t>
  </si>
  <si>
    <t xml:space="preserve">Do not put first focus on a button when inputs exist</t>
  </si>
  <si>
    <t xml:space="preserve">Runtime; conditional on containment</t>
  </si>
  <si>
    <t xml:space="preserve">R154</t>
  </si>
  <si>
    <t xml:space="preserve">Tab order: body, primary, secondary, close</t>
  </si>
  <si>
    <t xml:space="preserve">R155</t>
  </si>
  <si>
    <t xml:space="preserve">Polaris</t>
  </si>
  <si>
    <t xml:space="preserve">Common actions</t>
  </si>
  <si>
    <t xml:space="preserve">Every action has a text label, an icon, or both</t>
  </si>
  <si>
    <t xml:space="preserve">Required child</t>
  </si>
  <si>
    <t xml:space="preserve">https://polaris-react.shopify.com/patterns/common-actions/best-practices</t>
  </si>
  <si>
    <t xml:space="preserve">R156</t>
  </si>
  <si>
    <t xml:space="preserve">Use icons in place of text for common, well-known actions</t>
  </si>
  <si>
    <t xml:space="preserve">R157</t>
  </si>
  <si>
    <t xml:space="preserve">Keep action labels short; no unnecessary words</t>
  </si>
  <si>
    <t xml:space="preserve">R158</t>
  </si>
  <si>
    <t xml:space="preserve">Icons go to the left of the label</t>
  </si>
  <si>
    <t xml:space="preserve">Contradicts Carbon (right)</t>
  </si>
  <si>
    <t xml:space="preserve">R159</t>
  </si>
  <si>
    <t xml:space="preserve">Use the emphasis colour role for actions inside editors</t>
  </si>
  <si>
    <t xml:space="preserve">Context-conditional token</t>
  </si>
  <si>
    <t xml:space="preserve">R160</t>
  </si>
  <si>
    <t xml:space="preserve">Use a tertiary icon button for actions on list and table rows</t>
  </si>
  <si>
    <t xml:space="preserve">Containment -&gt; variant</t>
  </si>
  <si>
    <t xml:space="preserve">R161</t>
  </si>
  <si>
    <t xml:space="preserve">No more than two shaped/filled buttons within a card</t>
  </si>
  <si>
    <t xml:space="preserve">Scoped cardinality</t>
  </si>
  <si>
    <t xml:space="preserve">R162</t>
  </si>
  <si>
    <t xml:space="preserve">Delete icon accompanies destructive items in an action list</t>
  </si>
  <si>
    <t xml:space="preserve">R163</t>
  </si>
  <si>
    <t xml:space="preserve">Delete actions always at the bottom of an action list</t>
  </si>
  <si>
    <t xml:space="preserve">R164</t>
  </si>
  <si>
    <t xml:space="preserve">List-item delete is inline right, tertiary, with the delete icon</t>
  </si>
  <si>
    <t xml:space="preserve">Position + variant + icon</t>
  </si>
  <si>
    <t xml:space="preserve">R165</t>
  </si>
  <si>
    <t xml:space="preserve">Show row delete actions on hover for cursor users</t>
  </si>
  <si>
    <t xml:space="preserve">R166</t>
  </si>
  <si>
    <t xml:space="preserve">Do not overuse critical-styled buttons in a single view</t>
  </si>
  <si>
    <t xml:space="preserve">Soft cardinality</t>
  </si>
  <si>
    <t xml:space="preserve">R167</t>
  </si>
  <si>
    <t xml:space="preserve">Do not pair a primary-critical button with jarring other variants</t>
  </si>
  <si>
    <t xml:space="preserve">Sibling combination, underspecified</t>
  </si>
  <si>
    <t xml:space="preserve">R168</t>
  </si>
  <si>
    <t xml:space="preserve">Use the x icon (not delete) when the action only removes</t>
  </si>
  <si>
    <t xml:space="preserve">Data semantics</t>
  </si>
  <si>
    <t xml:space="preserve">R169</t>
  </si>
  <si>
    <t xml:space="preserve">Only group calls to action that relate to each other</t>
  </si>
  <si>
    <t xml:space="preserve">https://polaris-react.shopify.com/components/actions/button-group</t>
  </si>
  <si>
    <t xml:space="preserve">R170</t>
  </si>
  <si>
    <t xml:space="preserve">Too many CTAs leave merchants unsure; keep groups small</t>
  </si>
  <si>
    <t xml:space="preserve">Unspecified threshold</t>
  </si>
  <si>
    <t xml:space="preserve">R171</t>
  </si>
  <si>
    <t xml:space="preserve">Consider how groups look on small screens</t>
  </si>
  <si>
    <t xml:space="preserve">Unspecified</t>
  </si>
  <si>
    <t xml:space="preserve">R172</t>
  </si>
  <si>
    <t xml:space="preserve">Groups of up to six buttons only if they are icon-only</t>
  </si>
  <si>
    <t xml:space="preserve">Conditional cardinality</t>
  </si>
  <si>
    <t xml:space="preserve">R173</t>
  </si>
  <si>
    <t xml:space="preserve">Button text in sentence case</t>
  </si>
  <si>
    <t xml:space="preserve">https://polaris-react.shopify.com/components/actions/button</t>
  </si>
  <si>
    <t xml:space="preserve">R174</t>
  </si>
  <si>
    <t xml:space="preserve">Links for navigation in sentences; buttons for actions</t>
  </si>
  <si>
    <t xml:space="preserve">Kind by purpose; partially checkable via href</t>
  </si>
  <si>
    <t xml:space="preserve">R175</t>
  </si>
  <si>
    <t xml:space="preserve">Never mislabel a button</t>
  </si>
  <si>
    <t xml:space="preserve">R176</t>
  </si>
  <si>
    <t xml:space="preserve">{verb}+{noun} labels except common actions</t>
  </si>
  <si>
    <t xml:space="preserve">R177</t>
  </si>
  <si>
    <t xml:space="preserve">Page actions</t>
  </si>
  <si>
    <t xml:space="preserve">A single primary action, on the right, matching the title-bar primary</t>
  </si>
  <si>
    <t xml:space="preserve">Cardinality + cross-region equality</t>
  </si>
  <si>
    <t xml:space="preserve">https://polaris.shopify.com/components/page-actions</t>
  </si>
  <si>
    <t xml:space="preserve">R178</t>
  </si>
  <si>
    <t xml:space="preserve">At most two secondary actions</t>
  </si>
  <si>
    <t xml:space="preserve">R179</t>
  </si>
  <si>
    <t xml:space="preserve">Setting toggle</t>
  </si>
  <si>
    <t xml:space="preserve">Use a default button for both states, never primary</t>
  </si>
  <si>
    <t xml:space="preserve">https://polaris-react.shopify.com/components/deprecated/setting-toggle</t>
  </si>
  <si>
    <t xml:space="preserve">R180</t>
  </si>
  <si>
    <t xml:space="preserve">Toggle button says exactly 'Turn on' or 'Turn off'</t>
  </si>
  <si>
    <t xml:space="preserve">Literal whitelist</t>
  </si>
  <si>
    <t xml:space="preserve">R181</t>
  </si>
  <si>
    <t xml:space="preserve">Modal</t>
  </si>
  <si>
    <t xml:space="preserve">Use modals sparingly, for confirmations and conditional changes</t>
  </si>
  <si>
    <t xml:space="preserve">https://shopify.dev/docs/api/app-home/polaris-web-components/overlays/modal</t>
  </si>
  <si>
    <t xml:space="preserve">R182</t>
  </si>
  <si>
    <t xml:space="preserve">For destructive actions, explain consequences in the modal body</t>
  </si>
  <si>
    <t xml:space="preserve">Text semantics; proxy: body non-empty</t>
  </si>
  <si>
    <t xml:space="preserve">R183</t>
  </si>
  <si>
    <t xml:space="preserve">Avoid complex or multi-step content in modals</t>
  </si>
  <si>
    <t xml:space="preserve">R184</t>
  </si>
  <si>
    <t xml:space="preserve">Spectrum</t>
  </si>
  <si>
    <t xml:space="preserve">Buttons must have a visible label</t>
  </si>
  <si>
    <t xml:space="preserve">https://react-spectrum.adobe.com/v3/Button.html</t>
  </si>
  <si>
    <t xml:space="preserve">R185</t>
  </si>
  <si>
    <t xml:space="preserve">Icon-only buttons require an accessible label</t>
  </si>
  <si>
    <t xml:space="preserve">axe</t>
  </si>
  <si>
    <t xml:space="preserve">https://opensource.adobe.com/spectrum-web-components/components/button/</t>
  </si>
  <si>
    <t xml:space="preserve">R186</t>
  </si>
  <si>
    <t xml:space="preserve">Do not disable label wrapping; not part of the design spec</t>
  </si>
  <si>
    <t xml:space="preserve">R187</t>
  </si>
  <si>
    <t xml:space="preserve">Action button</t>
  </si>
  <si>
    <t xml:space="preserve">Do not use href on action buttons; use an anchor with the class</t>
  </si>
  <si>
    <t xml:space="preserve">Deprecated attribute</t>
  </si>
  <si>
    <t xml:space="preserve">https://opensource.adobe.com/spectrum-web-components/components/action-button/</t>
  </si>
  <si>
    <t xml:space="preserve">R188</t>
  </si>
  <si>
    <t xml:space="preserve">Colour</t>
  </si>
  <si>
    <t xml:space="preserve">Do not overuse the accent colour; primary actions only</t>
  </si>
  <si>
    <t xml:space="preserve">Soft cardinality on accent usage</t>
  </si>
  <si>
    <t xml:space="preserve">https://spectrum.adobe.com/page/color-system/</t>
  </si>
  <si>
    <t xml:space="preserve">R189</t>
  </si>
  <si>
    <t xml:space="preserve">Yellow, orange, chartreuse and cyan backgrounds must use black text</t>
  </si>
  <si>
    <t xml:space="preserve">Token pairing table</t>
  </si>
  <si>
    <t xml:space="preserve">R190</t>
  </si>
  <si>
    <t xml:space="preserve">Colour backgrounds must meet WCAG contrast with their text</t>
  </si>
  <si>
    <t xml:space="preserve">Computed contrast</t>
  </si>
  <si>
    <t xml:space="preserve">R191</t>
  </si>
  <si>
    <t xml:space="preserve">Alert dialog</t>
  </si>
  <si>
    <t xml:space="preserve">Only one alert dialog displayed at a time</t>
  </si>
  <si>
    <t xml:space="preserve">https://spectrum.adobe.com/page/alert-dialog/</t>
  </si>
  <si>
    <t xml:space="preserve">R192</t>
  </si>
  <si>
    <t xml:space="preserve">Never open an alert dialog from within another</t>
  </si>
  <si>
    <t xml:space="preserve">Nesting</t>
  </si>
  <si>
    <t xml:space="preserve">R193</t>
  </si>
  <si>
    <t xml:space="preserve">Stacked button groups order ascending importance, most critical at the bottom</t>
  </si>
  <si>
    <t xml:space="preserve">Ordering by role when vertical</t>
  </si>
  <si>
    <t xml:space="preserve">R194</t>
  </si>
  <si>
    <t xml:space="preserve">Button groups stack vertically when horizontal space is limited</t>
  </si>
  <si>
    <t xml:space="preserve">R195</t>
  </si>
  <si>
    <t xml:space="preserve">Use only when necessary; not for low-signal notices or excessive confirmations</t>
  </si>
  <si>
    <t xml:space="preserve">R196</t>
  </si>
  <si>
    <t xml:space="preserve">Description gives only the context needed for the decision</t>
  </si>
  <si>
    <t xml:space="preserve">R197</t>
  </si>
  <si>
    <t xml:space="preserve">GOV.UK</t>
  </si>
  <si>
    <t xml:space="preserve">Button text in sentence case describing the action</t>
  </si>
  <si>
    <t xml:space="preserve">https://design-system.service.gov.uk/components/button/</t>
  </si>
  <si>
    <t xml:space="preserve">R198</t>
  </si>
  <si>
    <t xml:space="preserve">Use the standard label vocabulary (Start now, Continue, Save and continue, ...)</t>
  </si>
  <si>
    <t xml:space="preserve">Whitelist; correct choice depends on page context</t>
  </si>
  <si>
    <t xml:space="preserve">R199</t>
  </si>
  <si>
    <t xml:space="preserve">Align the primary button to the left edge of the form</t>
  </si>
  <si>
    <t xml:space="preserve">R200</t>
  </si>
  <si>
    <t xml:space="preserve">Avoid multiple default (primary) buttons on a page</t>
  </si>
  <si>
    <t xml:space="preserve">R201</t>
  </si>
  <si>
    <t xml:space="preserve">Start buttons use a link tag, not a button tag</t>
  </si>
  <si>
    <t xml:space="preserve">eslint</t>
  </si>
  <si>
    <t xml:space="preserve">Kind by role</t>
  </si>
  <si>
    <t xml:space="preserve">R202</t>
  </si>
  <si>
    <t xml:space="preserve">Start button only on the service start page</t>
  </si>
  <si>
    <t xml:space="preserve">Page-type conditional</t>
  </si>
  <si>
    <t xml:space="preserve">R203</t>
  </si>
  <si>
    <t xml:space="preserve">Too many secondary buttons means simplify or split the page</t>
  </si>
  <si>
    <t xml:space="preserve">R204</t>
  </si>
  <si>
    <t xml:space="preserve">Warning buttons only for serious, hard-to-undo destructive actions</t>
  </si>
  <si>
    <t xml:space="preserve">Reversibility semantics</t>
  </si>
  <si>
    <t xml:space="preserve">R205</t>
  </si>
  <si>
    <t xml:space="preserve">Destructive actions include an additional confirmation step</t>
  </si>
  <si>
    <t xml:space="preserve">Accompaniment (may be cross-screen)</t>
  </si>
  <si>
    <t xml:space="preserve">R206</t>
  </si>
  <si>
    <t xml:space="preserve">Initial destructive CTA is another style; warning style only on final confirmation</t>
  </si>
  <si>
    <t xml:space="preserve">Ordering across two screens</t>
  </si>
  <si>
    <t xml:space="preserve">R207</t>
  </si>
  <si>
    <t xml:space="preserve">Do not rely on red alone; text must make the consequence clear</t>
  </si>
  <si>
    <t xml:space="preserve">R208</t>
  </si>
  <si>
    <t xml:space="preserve">Inverse buttons need at least 4.5:1 contrast with the background</t>
  </si>
  <si>
    <t xml:space="preserve">R209</t>
  </si>
  <si>
    <t xml:space="preserve">Avoid disabled buttons unless research supports them</t>
  </si>
  <si>
    <t xml:space="preserve">R210</t>
  </si>
  <si>
    <t xml:space="preserve">Two or more adjacent buttons must be in a button group</t>
  </si>
  <si>
    <t xml:space="preserve">Siblings require wrapper</t>
  </si>
  <si>
    <t xml:space="preserve">R211</t>
  </si>
  <si>
    <t xml:space="preserve">Use preventDoubleClick where research shows double submissions</t>
  </si>
  <si>
    <t xml:space="preserve">R212</t>
  </si>
  <si>
    <t xml:space="preserve">Show loading feedback before relying on double-click prevention</t>
  </si>
  <si>
    <t xml:space="preserve">Design-language conformance: classification of documented rules (sample)</t>
  </si>
  <si>
    <t xml:space="preserve">All counts below are formulas over the Rules sheet. Edit or add rows there and this sheet updates.</t>
  </si>
  <si>
    <t xml:space="preserve">Name</t>
  </si>
  <si>
    <t xml:space="preserve">Total</t>
  </si>
  <si>
    <t xml:space="preserve">Share</t>
  </si>
  <si>
    <t xml:space="preserve">Value</t>
  </si>
  <si>
    <t xml:space="preserve">Kind</t>
  </si>
  <si>
    <t xml:space="preserve">Property</t>
  </si>
  <si>
    <t xml:space="preserve">Structural</t>
  </si>
  <si>
    <t xml:space="preserve">Platform</t>
  </si>
  <si>
    <t xml:space="preserve">Responsive</t>
  </si>
  <si>
    <t xml:space="preserve">Dynamic</t>
  </si>
  <si>
    <t xml:space="preserve">Intent</t>
  </si>
  <si>
    <t xml:space="preserve">Headline figures</t>
  </si>
  <si>
    <t xml:space="preserve">Measure</t>
  </si>
  <si>
    <t xml:space="preserve">Count</t>
  </si>
  <si>
    <t xml:space="preserve">Share of all rules</t>
  </si>
  <si>
    <t xml:space="preserve">Statically checkable (V,K,P,S,PL,R)</t>
  </si>
  <si>
    <t xml:space="preserve">Dynamically checkable (D)</t>
  </si>
  <si>
    <t xml:space="preserve">Mechanically checkable, static or dynamic (all but I)</t>
  </si>
  <si>
    <t xml:space="preserve">Intent, not formalisable (I)</t>
  </si>
  <si>
    <t xml:space="preserve">Checked today by any tool, fully</t>
  </si>
  <si>
    <t xml:space="preserve">Checked today, including partial coverage</t>
  </si>
  <si>
    <t xml:space="preserve">Structural (S) rules checked today by any tool</t>
  </si>
  <si>
    <t xml:space="preserve">Expressible in draft schema as-is</t>
  </si>
  <si>
    <t xml:space="preserve">Expressible with schema extension</t>
  </si>
  <si>
    <t xml:space="preserve">Verification gap: checkable but unchecked</t>
  </si>
  <si>
    <t xml:space="preserve">Method note: sample of 3-4 documentation pages per system (button, dialog/modal, one destructive/confirmation pattern). Rules paraphrased; see Source column. Spectrum's site is JS-rendered and Polaris's current docs omit usage guidance, so those two are under-sampled. Classification by the taxonomy in the position paper, applied by a single rater in one pass — expect ±10% on class shares before a second rater.</t>
  </si>
  <si>
    <t xml:space="preserve">What it constrains</t>
  </si>
  <si>
    <t xml:space="preserve">How it is checked</t>
  </si>
  <si>
    <t xml:space="preserve">Property values must resolve to tokens</t>
  </si>
  <si>
    <t xml:space="preserve">Static, local</t>
  </si>
  <si>
    <t xml:space="preserve">Node kind allowed/forbidden/deprecated</t>
  </si>
  <si>
    <t xml:space="preserve">Property schema and cross-property rules</t>
  </si>
  <si>
    <t xml:space="preserve">Cardinality, containment, accompaniment, ordering over the tree</t>
  </si>
  <si>
    <t xml:space="preserve">Static, polynomial</t>
  </si>
  <si>
    <t xml:space="preserve">Per-platform / locale realisation</t>
  </si>
  <si>
    <t xml:space="preserve">Static given platform</t>
  </si>
  <si>
    <t xml:space="preserve">Viewport- or container-conditional transformation</t>
  </si>
  <si>
    <t xml:space="preserve">Static if branches encoded, else render</t>
  </si>
  <si>
    <t xml:space="preserve">Observable only at runtime (focus, contrast, layout result)</t>
  </si>
  <si>
    <t xml:space="preserve">Requires execution</t>
  </si>
  <si>
    <t xml:space="preserve">Purpose, taste, reversibility, data semantics</t>
  </si>
  <si>
    <t xml:space="preserve">Not formalisable</t>
  </si>
  <si>
    <t xml:space="preserve">Other columns</t>
  </si>
  <si>
    <t xml:space="preserve">eslint / stylelint / axe / figma / none. '(partial)' = the tool catches a neighbouring property (e.g. missing accessible name) but not the rule as written.</t>
  </si>
  <si>
    <t xml:space="preserve">yes = the YAML sketch in the position paper can state it; ext = needs a small extension (thresholds, cross-region equality, literal patterns, runtime hooks); no = intent.</t>
  </si>
  <si>
    <t xml:space="preserve">Contradictions between systems that a shared checker must parameterise, not hard-code:</t>
  </si>
  <si>
    <t xml:space="preserve"> - Icon position: Carbon = right of label; Polaris = left of label.</t>
  </si>
  <si>
    <t xml:space="preserve"> - Nested dialogs: Carbon = never; Primer = up to two acceptable, more than three discouraged.</t>
  </si>
  <si>
    <t xml:space="preserve"> - Primary alignment: Carbon = left on full pages, right in dialogs; GOV.UK = left of form; Primer = right in dialog footers.</t>
  </si>
  <si>
    <t xml:space="preserve"> - Confirmation for destructive actions: Primer explicitly says NO confirmation for reversible actions; GOV.UK says add a confirmation step for serious ones. Both are conditional on reversibility, which is intent.</t>
  </si>
  <si>
    <t xml:space="preserve">Rule shapes that recur across all five systems (candidates for the schema's core vocabulary):</t>
  </si>
  <si>
    <t xml:space="preserve"> - cardinality(role, scope, max)            e.g. one primary per page/dialog/group</t>
  </si>
  <si>
    <t xml:space="preserve"> - accompaniment(role, requires, scope)     e.g. danger trigger requires confirmation; icon-only requires tooltip</t>
  </si>
  <si>
    <t xml:space="preserve"> - ordering(roles, container)               e.g. cancel left, primary right; delete at bottom of list</t>
  </si>
  <si>
    <t xml:space="preserve"> - containment(kind, not-inside, container) e.g. no data table / tabs / nav / navigating link inside a modal</t>
  </si>
  <si>
    <t xml:space="preserve"> - sibling-consistency(property, group)     e.g. same size, same width, all-or-no icons within a group</t>
  </si>
  <si>
    <t xml:space="preserve"> - allowed-combination(variants, group)     Carbon's explicit 2- and 3-button tables</t>
  </si>
  <si>
    <t xml:space="preserve"> - literal-list(property, allow|deny)       e.g. labels not in {Yes, OK, Confirm}; toggle label in {Turn on, Turn off}</t>
  </si>
  <si>
    <t xml:space="preserve"> - conditional(containment =&gt; property)     e.g. dialog contains input =&gt; full-screen on narrow; contains form =&gt; no backdrop dismiss</t>
  </si>
  <si>
    <t xml:space="preserve">Documentation-format findings relevant to agent readability:</t>
  </si>
  <si>
    <t xml:space="preserve"> - Polaris's current web-component docs (shopify.dev) list props only; the usage rules now live only on the legacy React site marked deprecated.</t>
  </si>
  <si>
    <t xml:space="preserve"> - Spectrum's guideline site renders only with JavaScript; rules are not fetchable as text. A community dataset on Hugging Face mirrors the text.</t>
  </si>
  <si>
    <t xml:space="preserve"> - Carbon and GOV.UK publish the densest, most explicit rules in plain HTML; Carbon's button page alone yielded 57 rules.</t>
  </si>
  <si>
    <t xml:space="preserve"> - Primer is the only one of the five with a published MCP server for its design system.</t>
  </si>
  <si>
    <t xml:space="preserve">Classification difficulties worth recording for the paper:</t>
  </si>
  <si>
    <t xml:space="preserve"> - Many S rules have unspecified thresholds ('too many', 'sparingly'). They are structural in shape but need a number supplied by the adopting organisation.</t>
  </si>
  <si>
    <t xml:space="preserve"> - Several rules are structural across screens (redirect after delete; warning style only on the final confirmation screen). The single-tree model cannot express these; see open problem on flows.</t>
  </si>
  <si>
    <t xml:space="preserve"> - Content rules split cleanly: literal lists (P) vs grammar/meaning ({verb}+{noun}, 'never mislead') which are I.</t>
  </si>
  <si>
    <t xml:space="preserve"> - Accessibility tooling (axe) covers a neighbour of many rules (accessible name present) but almost never the design rule itself (tooltip present, label visible).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</si>
</sst>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name val="Arial"/>
      <family val="0"/>
      <charset val="1"/>
    </font>
    <font>
      <i val="true"/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RulesTable" displayName="RulesTable" ref="A1:I213" headerRowCount="1" totalsRowCount="0" totalsRowShown="0">
  <autoFilter ref="A1:I213"/>
  <tableColumns count="9">
    <tableColumn id="1" name="ID"/>
    <tableColumn id="2" name="System"/>
    <tableColumn id="3" name="Component / pattern"/>
    <tableColumn id="4" name="Rule (paraphrased)"/>
    <tableColumn id="5" name="Class"/>
    <tableColumn id="6" name="Checked by existing tool?"/>
    <tableColumn id="7" name="Expressible in draft schema"/>
    <tableColumn id="8" name="Notes"/>
    <tableColumn id="9" name="Sourc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0"/>
    <col collapsed="false" customWidth="true" hidden="false" outlineLevel="0" max="3" min="3" style="0" width="20"/>
    <col collapsed="false" customWidth="true" hidden="false" outlineLevel="0" max="4" min="4" style="0" width="60"/>
    <col collapsed="false" customWidth="true" hidden="false" outlineLevel="0" max="5" min="5" style="0" width="7"/>
    <col collapsed="false" customWidth="true" hidden="false" outlineLevel="0" max="6" min="6" style="0" width="22"/>
    <col collapsed="false" customWidth="true" hidden="false" outlineLevel="0" max="7" min="7" style="0" width="14"/>
    <col collapsed="false" customWidth="true" hidden="false" outlineLevel="0" max="8" min="8" style="0" width="40"/>
    <col collapsed="false" customWidth="true" hidden="false" outlineLevel="0" max="9" min="9" style="0" width="50"/>
  </cols>
  <sheetData>
    <row r="1" customFormat="false" ht="39.5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customFormat="false" ht="15" hidden="false" customHeight="false" outlineLevel="0" collapsed="false">
      <c r="A3" s="2" t="s">
        <v>18</v>
      </c>
      <c r="B3" s="2" t="s">
        <v>10</v>
      </c>
      <c r="C3" s="2" t="s">
        <v>11</v>
      </c>
      <c r="D3" s="2" t="s">
        <v>19</v>
      </c>
      <c r="E3" s="2" t="s">
        <v>13</v>
      </c>
      <c r="F3" s="2" t="s">
        <v>14</v>
      </c>
      <c r="G3" s="2" t="s">
        <v>15</v>
      </c>
      <c r="H3" s="2" t="s">
        <v>20</v>
      </c>
      <c r="I3" s="2" t="s">
        <v>17</v>
      </c>
    </row>
    <row r="4" customFormat="false" ht="23.85" hidden="false" customHeight="false" outlineLevel="0" collapsed="false">
      <c r="A4" s="2" t="s">
        <v>21</v>
      </c>
      <c r="B4" s="2" t="s">
        <v>10</v>
      </c>
      <c r="C4" s="2" t="s">
        <v>11</v>
      </c>
      <c r="D4" s="2" t="s">
        <v>22</v>
      </c>
      <c r="E4" s="2" t="s">
        <v>13</v>
      </c>
      <c r="F4" s="2" t="s">
        <v>14</v>
      </c>
      <c r="G4" s="2" t="s">
        <v>15</v>
      </c>
      <c r="H4" s="2" t="s">
        <v>23</v>
      </c>
      <c r="I4" s="2" t="s">
        <v>17</v>
      </c>
    </row>
    <row r="5" customFormat="false" ht="15" hidden="false" customHeight="false" outlineLevel="0" collapsed="false">
      <c r="A5" s="2" t="s">
        <v>24</v>
      </c>
      <c r="B5" s="2" t="s">
        <v>10</v>
      </c>
      <c r="C5" s="2" t="s">
        <v>11</v>
      </c>
      <c r="D5" s="2" t="s">
        <v>25</v>
      </c>
      <c r="E5" s="2" t="s">
        <v>26</v>
      </c>
      <c r="F5" s="2" t="s">
        <v>14</v>
      </c>
      <c r="G5" s="2" t="s">
        <v>15</v>
      </c>
      <c r="H5" s="2" t="s">
        <v>27</v>
      </c>
      <c r="I5" s="2" t="s">
        <v>17</v>
      </c>
    </row>
    <row r="6" customFormat="false" ht="15" hidden="false" customHeight="false" outlineLevel="0" collapsed="false">
      <c r="A6" s="2" t="s">
        <v>28</v>
      </c>
      <c r="B6" s="2" t="s">
        <v>10</v>
      </c>
      <c r="C6" s="2" t="s">
        <v>11</v>
      </c>
      <c r="D6" s="2" t="s">
        <v>29</v>
      </c>
      <c r="E6" s="2" t="s">
        <v>26</v>
      </c>
      <c r="F6" s="2" t="s">
        <v>14</v>
      </c>
      <c r="G6" s="2" t="s">
        <v>15</v>
      </c>
      <c r="H6" s="2" t="s">
        <v>30</v>
      </c>
      <c r="I6" s="2" t="s">
        <v>17</v>
      </c>
    </row>
    <row r="7" customFormat="false" ht="15" hidden="false" customHeight="false" outlineLevel="0" collapsed="false">
      <c r="A7" s="2" t="s">
        <v>31</v>
      </c>
      <c r="B7" s="2" t="s">
        <v>10</v>
      </c>
      <c r="C7" s="2" t="s">
        <v>11</v>
      </c>
      <c r="D7" s="2" t="s">
        <v>32</v>
      </c>
      <c r="E7" s="2" t="s">
        <v>33</v>
      </c>
      <c r="F7" s="2" t="s">
        <v>34</v>
      </c>
      <c r="G7" s="2" t="s">
        <v>35</v>
      </c>
      <c r="H7" s="2" t="s">
        <v>36</v>
      </c>
      <c r="I7" s="2" t="s">
        <v>17</v>
      </c>
    </row>
    <row r="8" customFormat="false" ht="15" hidden="false" customHeight="false" outlineLevel="0" collapsed="false">
      <c r="A8" s="2" t="s">
        <v>37</v>
      </c>
      <c r="B8" s="2" t="s">
        <v>10</v>
      </c>
      <c r="C8" s="2" t="s">
        <v>11</v>
      </c>
      <c r="D8" s="2" t="s">
        <v>38</v>
      </c>
      <c r="E8" s="2" t="s">
        <v>13</v>
      </c>
      <c r="F8" s="2" t="s">
        <v>14</v>
      </c>
      <c r="G8" s="2" t="s">
        <v>15</v>
      </c>
      <c r="H8" s="2" t="s">
        <v>39</v>
      </c>
      <c r="I8" s="2" t="s">
        <v>17</v>
      </c>
    </row>
    <row r="9" customFormat="false" ht="15" hidden="false" customHeight="false" outlineLevel="0" collapsed="false">
      <c r="A9" s="2" t="s">
        <v>40</v>
      </c>
      <c r="B9" s="2" t="s">
        <v>10</v>
      </c>
      <c r="C9" s="2" t="s">
        <v>11</v>
      </c>
      <c r="D9" s="2" t="s">
        <v>41</v>
      </c>
      <c r="E9" s="2" t="s">
        <v>13</v>
      </c>
      <c r="F9" s="2" t="s">
        <v>14</v>
      </c>
      <c r="G9" s="2" t="s">
        <v>15</v>
      </c>
      <c r="H9" s="2" t="s">
        <v>42</v>
      </c>
      <c r="I9" s="2" t="s">
        <v>17</v>
      </c>
    </row>
    <row r="10" customFormat="false" ht="15" hidden="false" customHeight="false" outlineLevel="0" collapsed="false">
      <c r="A10" s="2" t="s">
        <v>43</v>
      </c>
      <c r="B10" s="2" t="s">
        <v>10</v>
      </c>
      <c r="C10" s="2" t="s">
        <v>11</v>
      </c>
      <c r="D10" s="2" t="s">
        <v>44</v>
      </c>
      <c r="E10" s="2" t="s">
        <v>33</v>
      </c>
      <c r="F10" s="2" t="s">
        <v>14</v>
      </c>
      <c r="G10" s="2" t="s">
        <v>35</v>
      </c>
      <c r="H10" s="2" t="s">
        <v>45</v>
      </c>
      <c r="I10" s="2" t="s">
        <v>17</v>
      </c>
    </row>
    <row r="11" customFormat="false" ht="23.85" hidden="false" customHeight="false" outlineLevel="0" collapsed="false">
      <c r="A11" s="2" t="s">
        <v>46</v>
      </c>
      <c r="B11" s="2" t="s">
        <v>10</v>
      </c>
      <c r="C11" s="2" t="s">
        <v>11</v>
      </c>
      <c r="D11" s="2" t="s">
        <v>47</v>
      </c>
      <c r="E11" s="2" t="s">
        <v>48</v>
      </c>
      <c r="F11" s="2" t="s">
        <v>14</v>
      </c>
      <c r="G11" s="2" t="s">
        <v>49</v>
      </c>
      <c r="H11" s="2" t="s">
        <v>50</v>
      </c>
      <c r="I11" s="2" t="s">
        <v>17</v>
      </c>
    </row>
    <row r="12" customFormat="false" ht="15" hidden="false" customHeight="false" outlineLevel="0" collapsed="false">
      <c r="A12" s="2" t="s">
        <v>51</v>
      </c>
      <c r="B12" s="2" t="s">
        <v>10</v>
      </c>
      <c r="C12" s="2" t="s">
        <v>11</v>
      </c>
      <c r="D12" s="2" t="s">
        <v>52</v>
      </c>
      <c r="E12" s="2" t="s">
        <v>26</v>
      </c>
      <c r="F12" s="2" t="s">
        <v>14</v>
      </c>
      <c r="G12" s="2" t="s">
        <v>35</v>
      </c>
      <c r="H12" s="2" t="s">
        <v>53</v>
      </c>
      <c r="I12" s="2" t="s">
        <v>17</v>
      </c>
    </row>
    <row r="13" customFormat="false" ht="15" hidden="false" customHeight="false" outlineLevel="0" collapsed="false">
      <c r="A13" s="2" t="s">
        <v>54</v>
      </c>
      <c r="B13" s="2" t="s">
        <v>10</v>
      </c>
      <c r="C13" s="2" t="s">
        <v>11</v>
      </c>
      <c r="D13" s="2" t="s">
        <v>55</v>
      </c>
      <c r="E13" s="2" t="s">
        <v>48</v>
      </c>
      <c r="F13" s="2" t="s">
        <v>14</v>
      </c>
      <c r="G13" s="2" t="s">
        <v>49</v>
      </c>
      <c r="H13" s="2" t="s">
        <v>56</v>
      </c>
      <c r="I13" s="2" t="s">
        <v>17</v>
      </c>
    </row>
    <row r="14" customFormat="false" ht="15" hidden="false" customHeight="false" outlineLevel="0" collapsed="false">
      <c r="A14" s="2" t="s">
        <v>57</v>
      </c>
      <c r="B14" s="2" t="s">
        <v>10</v>
      </c>
      <c r="C14" s="2" t="s">
        <v>11</v>
      </c>
      <c r="D14" s="2" t="s">
        <v>58</v>
      </c>
      <c r="E14" s="2" t="s">
        <v>48</v>
      </c>
      <c r="F14" s="2" t="s">
        <v>14</v>
      </c>
      <c r="G14" s="2" t="s">
        <v>49</v>
      </c>
      <c r="H14" s="2" t="s">
        <v>59</v>
      </c>
      <c r="I14" s="2" t="s">
        <v>17</v>
      </c>
    </row>
    <row r="15" customFormat="false" ht="23.85" hidden="false" customHeight="false" outlineLevel="0" collapsed="false">
      <c r="A15" s="2" t="s">
        <v>60</v>
      </c>
      <c r="B15" s="2" t="s">
        <v>10</v>
      </c>
      <c r="C15" s="2" t="s">
        <v>61</v>
      </c>
      <c r="D15" s="2" t="s">
        <v>62</v>
      </c>
      <c r="E15" s="2" t="s">
        <v>13</v>
      </c>
      <c r="F15" s="2" t="s">
        <v>14</v>
      </c>
      <c r="G15" s="2" t="s">
        <v>15</v>
      </c>
      <c r="H15" s="2" t="s">
        <v>63</v>
      </c>
      <c r="I15" s="2" t="s">
        <v>64</v>
      </c>
    </row>
    <row r="16" customFormat="false" ht="23.85" hidden="false" customHeight="false" outlineLevel="0" collapsed="false">
      <c r="A16" s="2" t="s">
        <v>65</v>
      </c>
      <c r="B16" s="2" t="s">
        <v>10</v>
      </c>
      <c r="C16" s="2" t="s">
        <v>61</v>
      </c>
      <c r="D16" s="2" t="s">
        <v>66</v>
      </c>
      <c r="E16" s="2" t="s">
        <v>13</v>
      </c>
      <c r="F16" s="2" t="s">
        <v>14</v>
      </c>
      <c r="G16" s="2" t="s">
        <v>15</v>
      </c>
      <c r="H16" s="2" t="s">
        <v>67</v>
      </c>
      <c r="I16" s="2" t="s">
        <v>64</v>
      </c>
    </row>
    <row r="17" customFormat="false" ht="23.85" hidden="false" customHeight="false" outlineLevel="0" collapsed="false">
      <c r="A17" s="2" t="s">
        <v>68</v>
      </c>
      <c r="B17" s="2" t="s">
        <v>10</v>
      </c>
      <c r="C17" s="2" t="s">
        <v>61</v>
      </c>
      <c r="D17" s="2" t="s">
        <v>69</v>
      </c>
      <c r="E17" s="2" t="s">
        <v>13</v>
      </c>
      <c r="F17" s="2" t="s">
        <v>14</v>
      </c>
      <c r="G17" s="2" t="s">
        <v>35</v>
      </c>
      <c r="H17" s="2" t="s">
        <v>70</v>
      </c>
      <c r="I17" s="2" t="s">
        <v>64</v>
      </c>
    </row>
    <row r="18" customFormat="false" ht="23.85" hidden="false" customHeight="false" outlineLevel="0" collapsed="false">
      <c r="A18" s="2" t="s">
        <v>71</v>
      </c>
      <c r="B18" s="2" t="s">
        <v>10</v>
      </c>
      <c r="C18" s="2" t="s">
        <v>61</v>
      </c>
      <c r="D18" s="2" t="s">
        <v>72</v>
      </c>
      <c r="E18" s="2" t="s">
        <v>48</v>
      </c>
      <c r="F18" s="2" t="s">
        <v>14</v>
      </c>
      <c r="G18" s="2" t="s">
        <v>49</v>
      </c>
      <c r="H18" s="2" t="s">
        <v>73</v>
      </c>
      <c r="I18" s="2" t="s">
        <v>64</v>
      </c>
    </row>
    <row r="19" customFormat="false" ht="23.85" hidden="false" customHeight="false" outlineLevel="0" collapsed="false">
      <c r="A19" s="2" t="s">
        <v>74</v>
      </c>
      <c r="B19" s="2" t="s">
        <v>10</v>
      </c>
      <c r="C19" s="2" t="s">
        <v>61</v>
      </c>
      <c r="D19" s="2" t="s">
        <v>75</v>
      </c>
      <c r="E19" s="2" t="s">
        <v>48</v>
      </c>
      <c r="F19" s="2" t="s">
        <v>14</v>
      </c>
      <c r="G19" s="2" t="s">
        <v>49</v>
      </c>
      <c r="H19" s="2" t="s">
        <v>76</v>
      </c>
      <c r="I19" s="2" t="s">
        <v>64</v>
      </c>
    </row>
    <row r="20" customFormat="false" ht="23.85" hidden="false" customHeight="false" outlineLevel="0" collapsed="false">
      <c r="A20" s="2" t="s">
        <v>77</v>
      </c>
      <c r="B20" s="2" t="s">
        <v>10</v>
      </c>
      <c r="C20" s="2" t="s">
        <v>61</v>
      </c>
      <c r="D20" s="2" t="s">
        <v>78</v>
      </c>
      <c r="E20" s="2" t="s">
        <v>48</v>
      </c>
      <c r="F20" s="2" t="s">
        <v>14</v>
      </c>
      <c r="G20" s="2" t="s">
        <v>49</v>
      </c>
      <c r="H20" s="2"/>
      <c r="I20" s="2" t="s">
        <v>64</v>
      </c>
    </row>
    <row r="21" customFormat="false" ht="23.85" hidden="false" customHeight="false" outlineLevel="0" collapsed="false">
      <c r="A21" s="2" t="s">
        <v>79</v>
      </c>
      <c r="B21" s="2" t="s">
        <v>10</v>
      </c>
      <c r="C21" s="2" t="s">
        <v>80</v>
      </c>
      <c r="D21" s="2" t="s">
        <v>81</v>
      </c>
      <c r="E21" s="2" t="s">
        <v>13</v>
      </c>
      <c r="F21" s="2" t="s">
        <v>34</v>
      </c>
      <c r="G21" s="2" t="s">
        <v>15</v>
      </c>
      <c r="H21" s="2" t="s">
        <v>82</v>
      </c>
      <c r="I21" s="2" t="s">
        <v>83</v>
      </c>
    </row>
    <row r="22" customFormat="false" ht="23.85" hidden="false" customHeight="false" outlineLevel="0" collapsed="false">
      <c r="A22" s="2" t="s">
        <v>84</v>
      </c>
      <c r="B22" s="2" t="s">
        <v>10</v>
      </c>
      <c r="C22" s="2" t="s">
        <v>80</v>
      </c>
      <c r="D22" s="2" t="s">
        <v>85</v>
      </c>
      <c r="E22" s="2" t="s">
        <v>48</v>
      </c>
      <c r="F22" s="2" t="s">
        <v>14</v>
      </c>
      <c r="G22" s="2" t="s">
        <v>49</v>
      </c>
      <c r="H22" s="2"/>
      <c r="I22" s="2" t="s">
        <v>83</v>
      </c>
    </row>
    <row r="23" customFormat="false" ht="15" hidden="false" customHeight="false" outlineLevel="0" collapsed="false">
      <c r="A23" s="2" t="s">
        <v>86</v>
      </c>
      <c r="B23" s="2" t="s">
        <v>10</v>
      </c>
      <c r="C23" s="2" t="s">
        <v>87</v>
      </c>
      <c r="D23" s="2" t="s">
        <v>88</v>
      </c>
      <c r="E23" s="2" t="s">
        <v>26</v>
      </c>
      <c r="F23" s="2" t="s">
        <v>14</v>
      </c>
      <c r="G23" s="2" t="s">
        <v>15</v>
      </c>
      <c r="H23" s="2" t="s">
        <v>89</v>
      </c>
      <c r="I23" s="2" t="s">
        <v>90</v>
      </c>
    </row>
    <row r="24" customFormat="false" ht="15" hidden="false" customHeight="false" outlineLevel="0" collapsed="false">
      <c r="A24" s="2" t="s">
        <v>91</v>
      </c>
      <c r="B24" s="2" t="s">
        <v>10</v>
      </c>
      <c r="C24" s="2" t="s">
        <v>87</v>
      </c>
      <c r="D24" s="2" t="s">
        <v>92</v>
      </c>
      <c r="E24" s="2" t="s">
        <v>13</v>
      </c>
      <c r="F24" s="2" t="s">
        <v>14</v>
      </c>
      <c r="G24" s="2" t="s">
        <v>15</v>
      </c>
      <c r="H24" s="2" t="s">
        <v>93</v>
      </c>
      <c r="I24" s="2" t="s">
        <v>90</v>
      </c>
    </row>
    <row r="25" customFormat="false" ht="15" hidden="false" customHeight="false" outlineLevel="0" collapsed="false">
      <c r="A25" s="2" t="s">
        <v>94</v>
      </c>
      <c r="B25" s="2" t="s">
        <v>10</v>
      </c>
      <c r="C25" s="2" t="s">
        <v>87</v>
      </c>
      <c r="D25" s="2" t="s">
        <v>95</v>
      </c>
      <c r="E25" s="2" t="s">
        <v>13</v>
      </c>
      <c r="F25" s="2" t="s">
        <v>14</v>
      </c>
      <c r="G25" s="2" t="s">
        <v>15</v>
      </c>
      <c r="H25" s="2" t="s">
        <v>96</v>
      </c>
      <c r="I25" s="2" t="s">
        <v>90</v>
      </c>
    </row>
    <row r="26" customFormat="false" ht="15" hidden="false" customHeight="false" outlineLevel="0" collapsed="false">
      <c r="A26" s="2" t="s">
        <v>97</v>
      </c>
      <c r="B26" s="2" t="s">
        <v>10</v>
      </c>
      <c r="C26" s="2" t="s">
        <v>87</v>
      </c>
      <c r="D26" s="2" t="s">
        <v>98</v>
      </c>
      <c r="E26" s="2" t="s">
        <v>33</v>
      </c>
      <c r="F26" s="2" t="s">
        <v>14</v>
      </c>
      <c r="G26" s="2" t="s">
        <v>35</v>
      </c>
      <c r="H26" s="2" t="s">
        <v>99</v>
      </c>
      <c r="I26" s="2" t="s">
        <v>90</v>
      </c>
    </row>
    <row r="27" customFormat="false" ht="15" hidden="false" customHeight="false" outlineLevel="0" collapsed="false">
      <c r="A27" s="2" t="s">
        <v>100</v>
      </c>
      <c r="B27" s="2" t="s">
        <v>10</v>
      </c>
      <c r="C27" s="2" t="s">
        <v>87</v>
      </c>
      <c r="D27" s="2" t="s">
        <v>101</v>
      </c>
      <c r="E27" s="2" t="s">
        <v>13</v>
      </c>
      <c r="F27" s="2" t="s">
        <v>14</v>
      </c>
      <c r="G27" s="2" t="s">
        <v>15</v>
      </c>
      <c r="H27" s="2" t="s">
        <v>102</v>
      </c>
      <c r="I27" s="2" t="s">
        <v>90</v>
      </c>
    </row>
    <row r="28" customFormat="false" ht="15" hidden="false" customHeight="false" outlineLevel="0" collapsed="false">
      <c r="A28" s="2" t="s">
        <v>103</v>
      </c>
      <c r="B28" s="2" t="s">
        <v>10</v>
      </c>
      <c r="C28" s="2" t="s">
        <v>87</v>
      </c>
      <c r="D28" s="2" t="s">
        <v>104</v>
      </c>
      <c r="E28" s="2" t="s">
        <v>105</v>
      </c>
      <c r="F28" s="2" t="s">
        <v>106</v>
      </c>
      <c r="G28" s="2" t="s">
        <v>15</v>
      </c>
      <c r="H28" s="2" t="s">
        <v>107</v>
      </c>
      <c r="I28" s="2" t="s">
        <v>90</v>
      </c>
    </row>
    <row r="29" customFormat="false" ht="15" hidden="false" customHeight="false" outlineLevel="0" collapsed="false">
      <c r="A29" s="2" t="s">
        <v>108</v>
      </c>
      <c r="B29" s="2" t="s">
        <v>10</v>
      </c>
      <c r="C29" s="2" t="s">
        <v>87</v>
      </c>
      <c r="D29" s="2" t="s">
        <v>109</v>
      </c>
      <c r="E29" s="2" t="s">
        <v>105</v>
      </c>
      <c r="F29" s="2" t="s">
        <v>14</v>
      </c>
      <c r="G29" s="2" t="s">
        <v>15</v>
      </c>
      <c r="H29" s="2" t="s">
        <v>107</v>
      </c>
      <c r="I29" s="2" t="s">
        <v>90</v>
      </c>
    </row>
    <row r="30" customFormat="false" ht="15" hidden="false" customHeight="false" outlineLevel="0" collapsed="false">
      <c r="A30" s="2" t="s">
        <v>110</v>
      </c>
      <c r="B30" s="2" t="s">
        <v>10</v>
      </c>
      <c r="C30" s="2" t="s">
        <v>87</v>
      </c>
      <c r="D30" s="2" t="s">
        <v>111</v>
      </c>
      <c r="E30" s="2" t="s">
        <v>33</v>
      </c>
      <c r="F30" s="2" t="s">
        <v>14</v>
      </c>
      <c r="G30" s="2" t="s">
        <v>35</v>
      </c>
      <c r="H30" s="2" t="s">
        <v>112</v>
      </c>
      <c r="I30" s="2" t="s">
        <v>90</v>
      </c>
    </row>
    <row r="31" customFormat="false" ht="15" hidden="false" customHeight="false" outlineLevel="0" collapsed="false">
      <c r="A31" s="2" t="s">
        <v>113</v>
      </c>
      <c r="B31" s="2" t="s">
        <v>10</v>
      </c>
      <c r="C31" s="2" t="s">
        <v>87</v>
      </c>
      <c r="D31" s="2" t="s">
        <v>114</v>
      </c>
      <c r="E31" s="2" t="s">
        <v>48</v>
      </c>
      <c r="F31" s="2" t="s">
        <v>14</v>
      </c>
      <c r="G31" s="2" t="s">
        <v>49</v>
      </c>
      <c r="H31" s="2" t="s">
        <v>115</v>
      </c>
      <c r="I31" s="2" t="s">
        <v>90</v>
      </c>
    </row>
    <row r="32" customFormat="false" ht="15" hidden="false" customHeight="false" outlineLevel="0" collapsed="false">
      <c r="A32" s="2" t="s">
        <v>116</v>
      </c>
      <c r="B32" s="2" t="s">
        <v>10</v>
      </c>
      <c r="C32" s="2" t="s">
        <v>87</v>
      </c>
      <c r="D32" s="2" t="s">
        <v>117</v>
      </c>
      <c r="E32" s="2" t="s">
        <v>13</v>
      </c>
      <c r="F32" s="2" t="s">
        <v>14</v>
      </c>
      <c r="G32" s="2" t="s">
        <v>15</v>
      </c>
      <c r="H32" s="2" t="s">
        <v>118</v>
      </c>
      <c r="I32" s="2" t="s">
        <v>90</v>
      </c>
    </row>
    <row r="33" customFormat="false" ht="15" hidden="false" customHeight="false" outlineLevel="0" collapsed="false">
      <c r="A33" s="2" t="s">
        <v>119</v>
      </c>
      <c r="B33" s="2" t="s">
        <v>10</v>
      </c>
      <c r="C33" s="2" t="s">
        <v>87</v>
      </c>
      <c r="D33" s="2" t="s">
        <v>120</v>
      </c>
      <c r="E33" s="2" t="s">
        <v>13</v>
      </c>
      <c r="F33" s="2" t="s">
        <v>14</v>
      </c>
      <c r="G33" s="2" t="s">
        <v>15</v>
      </c>
      <c r="H33" s="2" t="s">
        <v>121</v>
      </c>
      <c r="I33" s="2" t="s">
        <v>90</v>
      </c>
    </row>
    <row r="34" customFormat="false" ht="15" hidden="false" customHeight="false" outlineLevel="0" collapsed="false">
      <c r="A34" s="2" t="s">
        <v>122</v>
      </c>
      <c r="B34" s="2" t="s">
        <v>10</v>
      </c>
      <c r="C34" s="2" t="s">
        <v>87</v>
      </c>
      <c r="D34" s="2" t="s">
        <v>123</v>
      </c>
      <c r="E34" s="2" t="s">
        <v>33</v>
      </c>
      <c r="F34" s="2" t="s">
        <v>14</v>
      </c>
      <c r="G34" s="2" t="s">
        <v>35</v>
      </c>
      <c r="H34" s="2" t="s">
        <v>124</v>
      </c>
      <c r="I34" s="2" t="s">
        <v>90</v>
      </c>
    </row>
    <row r="35" customFormat="false" ht="15" hidden="false" customHeight="false" outlineLevel="0" collapsed="false">
      <c r="A35" s="2" t="s">
        <v>125</v>
      </c>
      <c r="B35" s="2" t="s">
        <v>10</v>
      </c>
      <c r="C35" s="2" t="s">
        <v>87</v>
      </c>
      <c r="D35" s="2" t="s">
        <v>126</v>
      </c>
      <c r="E35" s="2" t="s">
        <v>33</v>
      </c>
      <c r="F35" s="2" t="s">
        <v>14</v>
      </c>
      <c r="G35" s="2" t="s">
        <v>35</v>
      </c>
      <c r="H35" s="2" t="s">
        <v>127</v>
      </c>
      <c r="I35" s="2" t="s">
        <v>90</v>
      </c>
    </row>
    <row r="36" customFormat="false" ht="15" hidden="false" customHeight="false" outlineLevel="0" collapsed="false">
      <c r="A36" s="2" t="s">
        <v>128</v>
      </c>
      <c r="B36" s="2" t="s">
        <v>10</v>
      </c>
      <c r="C36" s="2" t="s">
        <v>87</v>
      </c>
      <c r="D36" s="2" t="s">
        <v>129</v>
      </c>
      <c r="E36" s="2" t="s">
        <v>130</v>
      </c>
      <c r="F36" s="2" t="s">
        <v>14</v>
      </c>
      <c r="G36" s="2" t="s">
        <v>15</v>
      </c>
      <c r="H36" s="2" t="s">
        <v>131</v>
      </c>
      <c r="I36" s="2" t="s">
        <v>90</v>
      </c>
    </row>
    <row r="37" customFormat="false" ht="15" hidden="false" customHeight="false" outlineLevel="0" collapsed="false">
      <c r="A37" s="2" t="s">
        <v>132</v>
      </c>
      <c r="B37" s="2" t="s">
        <v>10</v>
      </c>
      <c r="C37" s="2" t="s">
        <v>87</v>
      </c>
      <c r="D37" s="2" t="s">
        <v>133</v>
      </c>
      <c r="E37" s="2" t="s">
        <v>105</v>
      </c>
      <c r="F37" s="2" t="s">
        <v>14</v>
      </c>
      <c r="G37" s="2" t="s">
        <v>15</v>
      </c>
      <c r="H37" s="2"/>
      <c r="I37" s="2" t="s">
        <v>90</v>
      </c>
    </row>
    <row r="38" customFormat="false" ht="23.85" hidden="false" customHeight="false" outlineLevel="0" collapsed="false">
      <c r="A38" s="2" t="s">
        <v>134</v>
      </c>
      <c r="B38" s="2" t="s">
        <v>10</v>
      </c>
      <c r="C38" s="2" t="s">
        <v>87</v>
      </c>
      <c r="D38" s="2" t="s">
        <v>135</v>
      </c>
      <c r="E38" s="2" t="s">
        <v>48</v>
      </c>
      <c r="F38" s="2" t="s">
        <v>14</v>
      </c>
      <c r="G38" s="2" t="s">
        <v>49</v>
      </c>
      <c r="H38" s="2" t="s">
        <v>136</v>
      </c>
      <c r="I38" s="2" t="s">
        <v>90</v>
      </c>
    </row>
    <row r="39" customFormat="false" ht="15" hidden="false" customHeight="false" outlineLevel="0" collapsed="false">
      <c r="A39" s="2" t="s">
        <v>137</v>
      </c>
      <c r="B39" s="2" t="s">
        <v>10</v>
      </c>
      <c r="C39" s="2" t="s">
        <v>87</v>
      </c>
      <c r="D39" s="2" t="s">
        <v>138</v>
      </c>
      <c r="E39" s="2" t="s">
        <v>13</v>
      </c>
      <c r="F39" s="2" t="s">
        <v>14</v>
      </c>
      <c r="G39" s="2" t="s">
        <v>15</v>
      </c>
      <c r="H39" s="2" t="s">
        <v>139</v>
      </c>
      <c r="I39" s="2" t="s">
        <v>90</v>
      </c>
    </row>
    <row r="40" customFormat="false" ht="15" hidden="false" customHeight="false" outlineLevel="0" collapsed="false">
      <c r="A40" s="2" t="s">
        <v>140</v>
      </c>
      <c r="B40" s="2" t="s">
        <v>10</v>
      </c>
      <c r="C40" s="2" t="s">
        <v>87</v>
      </c>
      <c r="D40" s="2" t="s">
        <v>141</v>
      </c>
      <c r="E40" s="2" t="s">
        <v>13</v>
      </c>
      <c r="F40" s="2" t="s">
        <v>14</v>
      </c>
      <c r="G40" s="2" t="s">
        <v>15</v>
      </c>
      <c r="H40" s="2" t="s">
        <v>142</v>
      </c>
      <c r="I40" s="2" t="s">
        <v>90</v>
      </c>
    </row>
    <row r="41" customFormat="false" ht="15" hidden="false" customHeight="false" outlineLevel="0" collapsed="false">
      <c r="A41" s="2" t="s">
        <v>143</v>
      </c>
      <c r="B41" s="2" t="s">
        <v>10</v>
      </c>
      <c r="C41" s="2" t="s">
        <v>87</v>
      </c>
      <c r="D41" s="2" t="s">
        <v>144</v>
      </c>
      <c r="E41" s="2" t="s">
        <v>13</v>
      </c>
      <c r="F41" s="2" t="s">
        <v>14</v>
      </c>
      <c r="G41" s="2" t="s">
        <v>15</v>
      </c>
      <c r="H41" s="2" t="s">
        <v>67</v>
      </c>
      <c r="I41" s="2" t="s">
        <v>90</v>
      </c>
    </row>
    <row r="42" customFormat="false" ht="15" hidden="false" customHeight="false" outlineLevel="0" collapsed="false">
      <c r="A42" s="2" t="s">
        <v>145</v>
      </c>
      <c r="B42" s="2" t="s">
        <v>10</v>
      </c>
      <c r="C42" s="2" t="s">
        <v>87</v>
      </c>
      <c r="D42" s="2" t="s">
        <v>146</v>
      </c>
      <c r="E42" s="2" t="s">
        <v>48</v>
      </c>
      <c r="F42" s="2" t="s">
        <v>14</v>
      </c>
      <c r="G42" s="2" t="s">
        <v>49</v>
      </c>
      <c r="H42" s="2"/>
      <c r="I42" s="2" t="s">
        <v>90</v>
      </c>
    </row>
    <row r="43" customFormat="false" ht="15" hidden="false" customHeight="false" outlineLevel="0" collapsed="false">
      <c r="A43" s="2" t="s">
        <v>147</v>
      </c>
      <c r="B43" s="2" t="s">
        <v>10</v>
      </c>
      <c r="C43" s="2" t="s">
        <v>87</v>
      </c>
      <c r="D43" s="2" t="s">
        <v>148</v>
      </c>
      <c r="E43" s="2" t="s">
        <v>149</v>
      </c>
      <c r="F43" s="2" t="s">
        <v>14</v>
      </c>
      <c r="G43" s="2" t="s">
        <v>15</v>
      </c>
      <c r="H43" s="2" t="s">
        <v>150</v>
      </c>
      <c r="I43" s="2" t="s">
        <v>90</v>
      </c>
    </row>
    <row r="44" customFormat="false" ht="15" hidden="false" customHeight="false" outlineLevel="0" collapsed="false">
      <c r="A44" s="2" t="s">
        <v>151</v>
      </c>
      <c r="B44" s="2" t="s">
        <v>10</v>
      </c>
      <c r="C44" s="2" t="s">
        <v>87</v>
      </c>
      <c r="D44" s="2" t="s">
        <v>152</v>
      </c>
      <c r="E44" s="2" t="s">
        <v>130</v>
      </c>
      <c r="F44" s="2" t="s">
        <v>14</v>
      </c>
      <c r="G44" s="2" t="s">
        <v>15</v>
      </c>
      <c r="H44" s="2" t="s">
        <v>153</v>
      </c>
      <c r="I44" s="2" t="s">
        <v>90</v>
      </c>
    </row>
    <row r="45" customFormat="false" ht="15" hidden="false" customHeight="false" outlineLevel="0" collapsed="false">
      <c r="A45" s="2" t="s">
        <v>154</v>
      </c>
      <c r="B45" s="2" t="s">
        <v>10</v>
      </c>
      <c r="C45" s="2" t="s">
        <v>87</v>
      </c>
      <c r="D45" s="2" t="s">
        <v>155</v>
      </c>
      <c r="E45" s="2" t="s">
        <v>130</v>
      </c>
      <c r="F45" s="2" t="s">
        <v>14</v>
      </c>
      <c r="G45" s="2" t="s">
        <v>15</v>
      </c>
      <c r="H45" s="2" t="s">
        <v>156</v>
      </c>
      <c r="I45" s="2" t="s">
        <v>90</v>
      </c>
    </row>
    <row r="46" customFormat="false" ht="15" hidden="false" customHeight="false" outlineLevel="0" collapsed="false">
      <c r="A46" s="2" t="s">
        <v>157</v>
      </c>
      <c r="B46" s="2" t="s">
        <v>10</v>
      </c>
      <c r="C46" s="2" t="s">
        <v>87</v>
      </c>
      <c r="D46" s="2" t="s">
        <v>158</v>
      </c>
      <c r="E46" s="2" t="s">
        <v>48</v>
      </c>
      <c r="F46" s="2" t="s">
        <v>14</v>
      </c>
      <c r="G46" s="2" t="s">
        <v>49</v>
      </c>
      <c r="H46" s="2"/>
      <c r="I46" s="2" t="s">
        <v>90</v>
      </c>
    </row>
    <row r="47" customFormat="false" ht="15" hidden="false" customHeight="false" outlineLevel="0" collapsed="false">
      <c r="A47" s="2" t="s">
        <v>159</v>
      </c>
      <c r="B47" s="2" t="s">
        <v>10</v>
      </c>
      <c r="C47" s="2" t="s">
        <v>87</v>
      </c>
      <c r="D47" s="2" t="s">
        <v>160</v>
      </c>
      <c r="E47" s="2" t="s">
        <v>26</v>
      </c>
      <c r="F47" s="2" t="s">
        <v>14</v>
      </c>
      <c r="G47" s="2" t="s">
        <v>15</v>
      </c>
      <c r="H47" s="2" t="s">
        <v>161</v>
      </c>
      <c r="I47" s="2" t="s">
        <v>90</v>
      </c>
    </row>
    <row r="48" customFormat="false" ht="15" hidden="false" customHeight="false" outlineLevel="0" collapsed="false">
      <c r="A48" s="2" t="s">
        <v>162</v>
      </c>
      <c r="B48" s="2" t="s">
        <v>10</v>
      </c>
      <c r="C48" s="2" t="s">
        <v>163</v>
      </c>
      <c r="D48" s="2" t="s">
        <v>164</v>
      </c>
      <c r="E48" s="2" t="s">
        <v>165</v>
      </c>
      <c r="F48" s="2" t="s">
        <v>14</v>
      </c>
      <c r="G48" s="2" t="s">
        <v>15</v>
      </c>
      <c r="H48" s="2" t="s">
        <v>166</v>
      </c>
      <c r="I48" s="2" t="s">
        <v>167</v>
      </c>
    </row>
    <row r="49" customFormat="false" ht="15" hidden="false" customHeight="false" outlineLevel="0" collapsed="false">
      <c r="A49" s="2" t="s">
        <v>168</v>
      </c>
      <c r="B49" s="2" t="s">
        <v>10</v>
      </c>
      <c r="C49" s="2" t="s">
        <v>163</v>
      </c>
      <c r="D49" s="2" t="s">
        <v>169</v>
      </c>
      <c r="E49" s="2" t="s">
        <v>26</v>
      </c>
      <c r="F49" s="2" t="s">
        <v>14</v>
      </c>
      <c r="G49" s="2" t="s">
        <v>15</v>
      </c>
      <c r="H49" s="2" t="s">
        <v>170</v>
      </c>
      <c r="I49" s="2" t="s">
        <v>167</v>
      </c>
    </row>
    <row r="50" customFormat="false" ht="23.85" hidden="false" customHeight="false" outlineLevel="0" collapsed="false">
      <c r="A50" s="2" t="s">
        <v>171</v>
      </c>
      <c r="B50" s="2" t="s">
        <v>10</v>
      </c>
      <c r="C50" s="2" t="s">
        <v>163</v>
      </c>
      <c r="D50" s="2" t="s">
        <v>172</v>
      </c>
      <c r="E50" s="2" t="s">
        <v>26</v>
      </c>
      <c r="F50" s="2" t="s">
        <v>14</v>
      </c>
      <c r="G50" s="2" t="s">
        <v>15</v>
      </c>
      <c r="H50" s="2" t="s">
        <v>173</v>
      </c>
      <c r="I50" s="2" t="s">
        <v>167</v>
      </c>
    </row>
    <row r="51" customFormat="false" ht="15" hidden="false" customHeight="false" outlineLevel="0" collapsed="false">
      <c r="A51" s="2" t="s">
        <v>174</v>
      </c>
      <c r="B51" s="2" t="s">
        <v>10</v>
      </c>
      <c r="C51" s="2" t="s">
        <v>163</v>
      </c>
      <c r="D51" s="2" t="s">
        <v>175</v>
      </c>
      <c r="E51" s="2" t="s">
        <v>26</v>
      </c>
      <c r="F51" s="2" t="s">
        <v>14</v>
      </c>
      <c r="G51" s="2" t="s">
        <v>15</v>
      </c>
      <c r="H51" s="2" t="s">
        <v>176</v>
      </c>
      <c r="I51" s="2" t="s">
        <v>167</v>
      </c>
    </row>
    <row r="52" customFormat="false" ht="15" hidden="false" customHeight="false" outlineLevel="0" collapsed="false">
      <c r="A52" s="2" t="s">
        <v>177</v>
      </c>
      <c r="B52" s="2" t="s">
        <v>10</v>
      </c>
      <c r="C52" s="2" t="s">
        <v>163</v>
      </c>
      <c r="D52" s="2" t="s">
        <v>178</v>
      </c>
      <c r="E52" s="2" t="s">
        <v>33</v>
      </c>
      <c r="F52" s="2" t="s">
        <v>14</v>
      </c>
      <c r="G52" s="2" t="s">
        <v>35</v>
      </c>
      <c r="H52" s="2" t="s">
        <v>179</v>
      </c>
      <c r="I52" s="2" t="s">
        <v>167</v>
      </c>
    </row>
    <row r="53" customFormat="false" ht="15" hidden="false" customHeight="false" outlineLevel="0" collapsed="false">
      <c r="A53" s="2" t="s">
        <v>180</v>
      </c>
      <c r="B53" s="2" t="s">
        <v>10</v>
      </c>
      <c r="C53" s="2" t="s">
        <v>163</v>
      </c>
      <c r="D53" s="2" t="s">
        <v>181</v>
      </c>
      <c r="E53" s="2" t="s">
        <v>33</v>
      </c>
      <c r="F53" s="2" t="s">
        <v>14</v>
      </c>
      <c r="G53" s="2" t="s">
        <v>49</v>
      </c>
      <c r="H53" s="2" t="s">
        <v>182</v>
      </c>
      <c r="I53" s="2" t="s">
        <v>167</v>
      </c>
    </row>
    <row r="54" customFormat="false" ht="15" hidden="false" customHeight="false" outlineLevel="0" collapsed="false">
      <c r="A54" s="2" t="s">
        <v>183</v>
      </c>
      <c r="B54" s="2" t="s">
        <v>10</v>
      </c>
      <c r="C54" s="2" t="s">
        <v>163</v>
      </c>
      <c r="D54" s="2" t="s">
        <v>184</v>
      </c>
      <c r="E54" s="2" t="s">
        <v>33</v>
      </c>
      <c r="F54" s="2" t="s">
        <v>14</v>
      </c>
      <c r="G54" s="2" t="s">
        <v>35</v>
      </c>
      <c r="H54" s="2" t="s">
        <v>127</v>
      </c>
      <c r="I54" s="2" t="s">
        <v>167</v>
      </c>
    </row>
    <row r="55" customFormat="false" ht="15" hidden="false" customHeight="false" outlineLevel="0" collapsed="false">
      <c r="A55" s="2" t="s">
        <v>185</v>
      </c>
      <c r="B55" s="2" t="s">
        <v>10</v>
      </c>
      <c r="C55" s="2" t="s">
        <v>163</v>
      </c>
      <c r="D55" s="2" t="s">
        <v>186</v>
      </c>
      <c r="E55" s="2" t="s">
        <v>33</v>
      </c>
      <c r="F55" s="2" t="s">
        <v>34</v>
      </c>
      <c r="G55" s="2" t="s">
        <v>35</v>
      </c>
      <c r="H55" s="2" t="s">
        <v>187</v>
      </c>
      <c r="I55" s="2" t="s">
        <v>167</v>
      </c>
    </row>
    <row r="56" customFormat="false" ht="15" hidden="false" customHeight="false" outlineLevel="0" collapsed="false">
      <c r="A56" s="2" t="s">
        <v>188</v>
      </c>
      <c r="B56" s="2" t="s">
        <v>10</v>
      </c>
      <c r="C56" s="2" t="s">
        <v>163</v>
      </c>
      <c r="D56" s="2" t="s">
        <v>189</v>
      </c>
      <c r="E56" s="2" t="s">
        <v>33</v>
      </c>
      <c r="F56" s="2" t="s">
        <v>14</v>
      </c>
      <c r="G56" s="2" t="s">
        <v>35</v>
      </c>
      <c r="H56" s="2" t="s">
        <v>190</v>
      </c>
      <c r="I56" s="2" t="s">
        <v>167</v>
      </c>
    </row>
    <row r="57" customFormat="false" ht="15" hidden="false" customHeight="false" outlineLevel="0" collapsed="false">
      <c r="A57" s="2" t="s">
        <v>191</v>
      </c>
      <c r="B57" s="2" t="s">
        <v>10</v>
      </c>
      <c r="C57" s="2" t="s">
        <v>163</v>
      </c>
      <c r="D57" s="2" t="s">
        <v>192</v>
      </c>
      <c r="E57" s="2" t="s">
        <v>48</v>
      </c>
      <c r="F57" s="2" t="s">
        <v>14</v>
      </c>
      <c r="G57" s="2" t="s">
        <v>49</v>
      </c>
      <c r="H57" s="2"/>
      <c r="I57" s="2" t="s">
        <v>167</v>
      </c>
    </row>
    <row r="58" customFormat="false" ht="15" hidden="false" customHeight="false" outlineLevel="0" collapsed="false">
      <c r="A58" s="2" t="s">
        <v>193</v>
      </c>
      <c r="B58" s="2" t="s">
        <v>10</v>
      </c>
      <c r="C58" s="2" t="s">
        <v>163</v>
      </c>
      <c r="D58" s="2" t="s">
        <v>194</v>
      </c>
      <c r="E58" s="2" t="s">
        <v>48</v>
      </c>
      <c r="F58" s="2" t="s">
        <v>14</v>
      </c>
      <c r="G58" s="2" t="s">
        <v>49</v>
      </c>
      <c r="H58" s="2" t="s">
        <v>195</v>
      </c>
      <c r="I58" s="2" t="s">
        <v>167</v>
      </c>
    </row>
    <row r="59" customFormat="false" ht="15" hidden="false" customHeight="false" outlineLevel="0" collapsed="false">
      <c r="A59" s="2" t="s">
        <v>196</v>
      </c>
      <c r="B59" s="2" t="s">
        <v>10</v>
      </c>
      <c r="C59" s="2" t="s">
        <v>163</v>
      </c>
      <c r="D59" s="2" t="s">
        <v>197</v>
      </c>
      <c r="E59" s="2" t="s">
        <v>48</v>
      </c>
      <c r="F59" s="2" t="s">
        <v>14</v>
      </c>
      <c r="G59" s="2" t="s">
        <v>49</v>
      </c>
      <c r="H59" s="2" t="s">
        <v>198</v>
      </c>
      <c r="I59" s="2" t="s">
        <v>167</v>
      </c>
    </row>
    <row r="60" customFormat="false" ht="15" hidden="false" customHeight="false" outlineLevel="0" collapsed="false">
      <c r="A60" s="2" t="s">
        <v>199</v>
      </c>
      <c r="B60" s="2" t="s">
        <v>10</v>
      </c>
      <c r="C60" s="2" t="s">
        <v>163</v>
      </c>
      <c r="D60" s="2" t="s">
        <v>200</v>
      </c>
      <c r="E60" s="2" t="s">
        <v>48</v>
      </c>
      <c r="F60" s="2" t="s">
        <v>14</v>
      </c>
      <c r="G60" s="2" t="s">
        <v>49</v>
      </c>
      <c r="H60" s="2"/>
      <c r="I60" s="2" t="s">
        <v>167</v>
      </c>
    </row>
    <row r="61" customFormat="false" ht="15" hidden="false" customHeight="false" outlineLevel="0" collapsed="false">
      <c r="A61" s="2" t="s">
        <v>201</v>
      </c>
      <c r="B61" s="2" t="s">
        <v>10</v>
      </c>
      <c r="C61" s="2" t="s">
        <v>163</v>
      </c>
      <c r="D61" s="2" t="s">
        <v>202</v>
      </c>
      <c r="E61" s="2" t="s">
        <v>26</v>
      </c>
      <c r="F61" s="2" t="s">
        <v>14</v>
      </c>
      <c r="G61" s="2" t="s">
        <v>35</v>
      </c>
      <c r="H61" s="2" t="s">
        <v>203</v>
      </c>
      <c r="I61" s="2" t="s">
        <v>167</v>
      </c>
    </row>
    <row r="62" customFormat="false" ht="15" hidden="false" customHeight="false" outlineLevel="0" collapsed="false">
      <c r="A62" s="2" t="s">
        <v>204</v>
      </c>
      <c r="B62" s="2" t="s">
        <v>10</v>
      </c>
      <c r="C62" s="2" t="s">
        <v>163</v>
      </c>
      <c r="D62" s="2" t="s">
        <v>205</v>
      </c>
      <c r="E62" s="2" t="s">
        <v>26</v>
      </c>
      <c r="F62" s="2" t="s">
        <v>14</v>
      </c>
      <c r="G62" s="2" t="s">
        <v>15</v>
      </c>
      <c r="H62" s="2" t="s">
        <v>206</v>
      </c>
      <c r="I62" s="2" t="s">
        <v>167</v>
      </c>
    </row>
    <row r="63" customFormat="false" ht="15" hidden="false" customHeight="false" outlineLevel="0" collapsed="false">
      <c r="A63" s="2" t="s">
        <v>207</v>
      </c>
      <c r="B63" s="2" t="s">
        <v>10</v>
      </c>
      <c r="C63" s="2" t="s">
        <v>163</v>
      </c>
      <c r="D63" s="2" t="s">
        <v>208</v>
      </c>
      <c r="E63" s="2" t="s">
        <v>48</v>
      </c>
      <c r="F63" s="2" t="s">
        <v>14</v>
      </c>
      <c r="G63" s="2" t="s">
        <v>49</v>
      </c>
      <c r="H63" s="2" t="s">
        <v>209</v>
      </c>
      <c r="I63" s="2" t="s">
        <v>167</v>
      </c>
    </row>
    <row r="64" customFormat="false" ht="15" hidden="false" customHeight="false" outlineLevel="0" collapsed="false">
      <c r="A64" s="2" t="s">
        <v>210</v>
      </c>
      <c r="B64" s="2" t="s">
        <v>211</v>
      </c>
      <c r="C64" s="2" t="s">
        <v>11</v>
      </c>
      <c r="D64" s="2" t="s">
        <v>212</v>
      </c>
      <c r="E64" s="2" t="s">
        <v>13</v>
      </c>
      <c r="F64" s="2" t="s">
        <v>14</v>
      </c>
      <c r="G64" s="2" t="s">
        <v>15</v>
      </c>
      <c r="H64" s="2" t="s">
        <v>16</v>
      </c>
      <c r="I64" s="2" t="s">
        <v>213</v>
      </c>
    </row>
    <row r="65" customFormat="false" ht="15" hidden="false" customHeight="false" outlineLevel="0" collapsed="false">
      <c r="A65" s="2" t="s">
        <v>214</v>
      </c>
      <c r="B65" s="2" t="s">
        <v>211</v>
      </c>
      <c r="C65" s="2" t="s">
        <v>11</v>
      </c>
      <c r="D65" s="2" t="s">
        <v>215</v>
      </c>
      <c r="E65" s="2" t="s">
        <v>26</v>
      </c>
      <c r="F65" s="2" t="s">
        <v>216</v>
      </c>
      <c r="G65" s="2" t="s">
        <v>15</v>
      </c>
      <c r="H65" s="2" t="s">
        <v>217</v>
      </c>
      <c r="I65" s="2" t="s">
        <v>213</v>
      </c>
    </row>
    <row r="66" customFormat="false" ht="23.85" hidden="false" customHeight="false" outlineLevel="0" collapsed="false">
      <c r="A66" s="2" t="s">
        <v>218</v>
      </c>
      <c r="B66" s="2" t="s">
        <v>211</v>
      </c>
      <c r="C66" s="2" t="s">
        <v>11</v>
      </c>
      <c r="D66" s="2" t="s">
        <v>219</v>
      </c>
      <c r="E66" s="2" t="s">
        <v>13</v>
      </c>
      <c r="F66" s="2" t="s">
        <v>14</v>
      </c>
      <c r="G66" s="2" t="s">
        <v>15</v>
      </c>
      <c r="H66" s="2" t="s">
        <v>220</v>
      </c>
      <c r="I66" s="2" t="s">
        <v>213</v>
      </c>
    </row>
    <row r="67" customFormat="false" ht="15" hidden="false" customHeight="false" outlineLevel="0" collapsed="false">
      <c r="A67" s="2" t="s">
        <v>221</v>
      </c>
      <c r="B67" s="2" t="s">
        <v>211</v>
      </c>
      <c r="C67" s="2" t="s">
        <v>11</v>
      </c>
      <c r="D67" s="2" t="s">
        <v>222</v>
      </c>
      <c r="E67" s="2" t="s">
        <v>13</v>
      </c>
      <c r="F67" s="2" t="s">
        <v>14</v>
      </c>
      <c r="G67" s="2" t="s">
        <v>15</v>
      </c>
      <c r="H67" s="2" t="s">
        <v>223</v>
      </c>
      <c r="I67" s="2" t="s">
        <v>213</v>
      </c>
    </row>
    <row r="68" customFormat="false" ht="23.85" hidden="false" customHeight="false" outlineLevel="0" collapsed="false">
      <c r="A68" s="2" t="s">
        <v>224</v>
      </c>
      <c r="B68" s="2" t="s">
        <v>211</v>
      </c>
      <c r="C68" s="2" t="s">
        <v>11</v>
      </c>
      <c r="D68" s="2" t="s">
        <v>225</v>
      </c>
      <c r="E68" s="2" t="s">
        <v>48</v>
      </c>
      <c r="F68" s="2" t="s">
        <v>14</v>
      </c>
      <c r="G68" s="2" t="s">
        <v>49</v>
      </c>
      <c r="H68" s="2" t="s">
        <v>226</v>
      </c>
      <c r="I68" s="2" t="s">
        <v>213</v>
      </c>
    </row>
    <row r="69" customFormat="false" ht="15" hidden="false" customHeight="false" outlineLevel="0" collapsed="false">
      <c r="A69" s="2" t="s">
        <v>227</v>
      </c>
      <c r="B69" s="2" t="s">
        <v>211</v>
      </c>
      <c r="C69" s="2" t="s">
        <v>11</v>
      </c>
      <c r="D69" s="2" t="s">
        <v>228</v>
      </c>
      <c r="E69" s="2" t="s">
        <v>26</v>
      </c>
      <c r="F69" s="2" t="s">
        <v>14</v>
      </c>
      <c r="G69" s="2" t="s">
        <v>15</v>
      </c>
      <c r="H69" s="2" t="s">
        <v>229</v>
      </c>
      <c r="I69" s="2" t="s">
        <v>213</v>
      </c>
    </row>
    <row r="70" customFormat="false" ht="15" hidden="false" customHeight="false" outlineLevel="0" collapsed="false">
      <c r="A70" s="2" t="s">
        <v>230</v>
      </c>
      <c r="B70" s="2" t="s">
        <v>211</v>
      </c>
      <c r="C70" s="2" t="s">
        <v>11</v>
      </c>
      <c r="D70" s="2" t="s">
        <v>231</v>
      </c>
      <c r="E70" s="2" t="s">
        <v>105</v>
      </c>
      <c r="F70" s="2" t="s">
        <v>232</v>
      </c>
      <c r="G70" s="2" t="s">
        <v>15</v>
      </c>
      <c r="H70" s="2" t="s">
        <v>233</v>
      </c>
      <c r="I70" s="2" t="s">
        <v>213</v>
      </c>
    </row>
    <row r="71" customFormat="false" ht="15" hidden="false" customHeight="false" outlineLevel="0" collapsed="false">
      <c r="A71" s="2" t="s">
        <v>234</v>
      </c>
      <c r="B71" s="2" t="s">
        <v>211</v>
      </c>
      <c r="C71" s="2" t="s">
        <v>11</v>
      </c>
      <c r="D71" s="2" t="s">
        <v>235</v>
      </c>
      <c r="E71" s="2" t="s">
        <v>105</v>
      </c>
      <c r="F71" s="2" t="s">
        <v>14</v>
      </c>
      <c r="G71" s="2" t="s">
        <v>15</v>
      </c>
      <c r="H71" s="2"/>
      <c r="I71" s="2" t="s">
        <v>213</v>
      </c>
    </row>
    <row r="72" customFormat="false" ht="15" hidden="false" customHeight="false" outlineLevel="0" collapsed="false">
      <c r="A72" s="2" t="s">
        <v>236</v>
      </c>
      <c r="B72" s="2" t="s">
        <v>211</v>
      </c>
      <c r="C72" s="2" t="s">
        <v>11</v>
      </c>
      <c r="D72" s="2" t="s">
        <v>237</v>
      </c>
      <c r="E72" s="2" t="s">
        <v>13</v>
      </c>
      <c r="F72" s="2" t="s">
        <v>14</v>
      </c>
      <c r="G72" s="2" t="s">
        <v>15</v>
      </c>
      <c r="H72" s="2" t="s">
        <v>238</v>
      </c>
      <c r="I72" s="2" t="s">
        <v>213</v>
      </c>
    </row>
    <row r="73" customFormat="false" ht="15" hidden="false" customHeight="false" outlineLevel="0" collapsed="false">
      <c r="A73" s="2" t="s">
        <v>239</v>
      </c>
      <c r="B73" s="2" t="s">
        <v>211</v>
      </c>
      <c r="C73" s="2" t="s">
        <v>11</v>
      </c>
      <c r="D73" s="2" t="s">
        <v>240</v>
      </c>
      <c r="E73" s="2" t="s">
        <v>13</v>
      </c>
      <c r="F73" s="2" t="s">
        <v>14</v>
      </c>
      <c r="G73" s="2" t="s">
        <v>15</v>
      </c>
      <c r="H73" s="2" t="s">
        <v>67</v>
      </c>
      <c r="I73" s="2" t="s">
        <v>213</v>
      </c>
    </row>
    <row r="74" customFormat="false" ht="15" hidden="false" customHeight="false" outlineLevel="0" collapsed="false">
      <c r="A74" s="2" t="s">
        <v>241</v>
      </c>
      <c r="B74" s="2" t="s">
        <v>211</v>
      </c>
      <c r="C74" s="2" t="s">
        <v>11</v>
      </c>
      <c r="D74" s="2" t="s">
        <v>242</v>
      </c>
      <c r="E74" s="2" t="s">
        <v>13</v>
      </c>
      <c r="F74" s="2" t="s">
        <v>14</v>
      </c>
      <c r="G74" s="2" t="s">
        <v>15</v>
      </c>
      <c r="H74" s="2" t="s">
        <v>67</v>
      </c>
      <c r="I74" s="2" t="s">
        <v>213</v>
      </c>
    </row>
    <row r="75" customFormat="false" ht="15" hidden="false" customHeight="false" outlineLevel="0" collapsed="false">
      <c r="A75" s="2" t="s">
        <v>243</v>
      </c>
      <c r="B75" s="2" t="s">
        <v>211</v>
      </c>
      <c r="C75" s="2" t="s">
        <v>11</v>
      </c>
      <c r="D75" s="2" t="s">
        <v>244</v>
      </c>
      <c r="E75" s="2" t="s">
        <v>48</v>
      </c>
      <c r="F75" s="2" t="s">
        <v>14</v>
      </c>
      <c r="G75" s="2" t="s">
        <v>49</v>
      </c>
      <c r="H75" s="2"/>
      <c r="I75" s="2" t="s">
        <v>213</v>
      </c>
    </row>
    <row r="76" customFormat="false" ht="15" hidden="false" customHeight="false" outlineLevel="0" collapsed="false">
      <c r="A76" s="2" t="s">
        <v>245</v>
      </c>
      <c r="B76" s="2" t="s">
        <v>211</v>
      </c>
      <c r="C76" s="2" t="s">
        <v>11</v>
      </c>
      <c r="D76" s="2" t="s">
        <v>246</v>
      </c>
      <c r="E76" s="2" t="s">
        <v>13</v>
      </c>
      <c r="F76" s="2" t="s">
        <v>14</v>
      </c>
      <c r="G76" s="2" t="s">
        <v>15</v>
      </c>
      <c r="H76" s="2" t="s">
        <v>247</v>
      </c>
      <c r="I76" s="2" t="s">
        <v>213</v>
      </c>
    </row>
    <row r="77" customFormat="false" ht="15" hidden="false" customHeight="false" outlineLevel="0" collapsed="false">
      <c r="A77" s="2" t="s">
        <v>248</v>
      </c>
      <c r="B77" s="2" t="s">
        <v>211</v>
      </c>
      <c r="C77" s="2" t="s">
        <v>11</v>
      </c>
      <c r="D77" s="2" t="s">
        <v>249</v>
      </c>
      <c r="E77" s="2" t="s">
        <v>13</v>
      </c>
      <c r="F77" s="2" t="s">
        <v>14</v>
      </c>
      <c r="G77" s="2" t="s">
        <v>15</v>
      </c>
      <c r="H77" s="2" t="s">
        <v>250</v>
      </c>
      <c r="I77" s="2" t="s">
        <v>213</v>
      </c>
    </row>
    <row r="78" customFormat="false" ht="15" hidden="false" customHeight="false" outlineLevel="0" collapsed="false">
      <c r="A78" s="2" t="s">
        <v>251</v>
      </c>
      <c r="B78" s="2" t="s">
        <v>211</v>
      </c>
      <c r="C78" s="2" t="s">
        <v>11</v>
      </c>
      <c r="D78" s="2" t="s">
        <v>252</v>
      </c>
      <c r="E78" s="2" t="s">
        <v>105</v>
      </c>
      <c r="F78" s="2" t="s">
        <v>232</v>
      </c>
      <c r="G78" s="2" t="s">
        <v>15</v>
      </c>
      <c r="H78" s="2" t="s">
        <v>253</v>
      </c>
      <c r="I78" s="2" t="s">
        <v>213</v>
      </c>
    </row>
    <row r="79" customFormat="false" ht="15" hidden="false" customHeight="false" outlineLevel="0" collapsed="false">
      <c r="A79" s="2" t="s">
        <v>254</v>
      </c>
      <c r="B79" s="2" t="s">
        <v>211</v>
      </c>
      <c r="C79" s="2" t="s">
        <v>11</v>
      </c>
      <c r="D79" s="2" t="s">
        <v>255</v>
      </c>
      <c r="E79" s="2" t="s">
        <v>48</v>
      </c>
      <c r="F79" s="2" t="s">
        <v>14</v>
      </c>
      <c r="G79" s="2" t="s">
        <v>49</v>
      </c>
      <c r="H79" s="2"/>
      <c r="I79" s="2" t="s">
        <v>213</v>
      </c>
    </row>
    <row r="80" customFormat="false" ht="15" hidden="false" customHeight="false" outlineLevel="0" collapsed="false">
      <c r="A80" s="2" t="s">
        <v>256</v>
      </c>
      <c r="B80" s="2" t="s">
        <v>211</v>
      </c>
      <c r="C80" s="2" t="s">
        <v>11</v>
      </c>
      <c r="D80" s="2" t="s">
        <v>257</v>
      </c>
      <c r="E80" s="2" t="s">
        <v>33</v>
      </c>
      <c r="F80" s="2" t="s">
        <v>14</v>
      </c>
      <c r="G80" s="2" t="s">
        <v>35</v>
      </c>
      <c r="H80" s="2" t="s">
        <v>258</v>
      </c>
      <c r="I80" s="2" t="s">
        <v>213</v>
      </c>
    </row>
    <row r="81" customFormat="false" ht="15" hidden="false" customHeight="false" outlineLevel="0" collapsed="false">
      <c r="A81" s="2" t="s">
        <v>259</v>
      </c>
      <c r="B81" s="2" t="s">
        <v>211</v>
      </c>
      <c r="C81" s="2" t="s">
        <v>11</v>
      </c>
      <c r="D81" s="2" t="s">
        <v>260</v>
      </c>
      <c r="E81" s="2" t="s">
        <v>105</v>
      </c>
      <c r="F81" s="2" t="s">
        <v>14</v>
      </c>
      <c r="G81" s="2" t="s">
        <v>15</v>
      </c>
      <c r="H81" s="2"/>
      <c r="I81" s="2" t="s">
        <v>213</v>
      </c>
    </row>
    <row r="82" customFormat="false" ht="15" hidden="false" customHeight="false" outlineLevel="0" collapsed="false">
      <c r="A82" s="2" t="s">
        <v>261</v>
      </c>
      <c r="B82" s="2" t="s">
        <v>211</v>
      </c>
      <c r="C82" s="2" t="s">
        <v>11</v>
      </c>
      <c r="D82" s="2" t="s">
        <v>262</v>
      </c>
      <c r="E82" s="2" t="s">
        <v>13</v>
      </c>
      <c r="F82" s="2" t="s">
        <v>14</v>
      </c>
      <c r="G82" s="2" t="s">
        <v>15</v>
      </c>
      <c r="H82" s="2" t="s">
        <v>263</v>
      </c>
      <c r="I82" s="2" t="s">
        <v>213</v>
      </c>
    </row>
    <row r="83" customFormat="false" ht="15" hidden="false" customHeight="false" outlineLevel="0" collapsed="false">
      <c r="A83" s="2" t="s">
        <v>264</v>
      </c>
      <c r="B83" s="2" t="s">
        <v>211</v>
      </c>
      <c r="C83" s="2" t="s">
        <v>11</v>
      </c>
      <c r="D83" s="2" t="s">
        <v>265</v>
      </c>
      <c r="E83" s="2" t="s">
        <v>105</v>
      </c>
      <c r="F83" s="2" t="s">
        <v>232</v>
      </c>
      <c r="G83" s="2" t="s">
        <v>15</v>
      </c>
      <c r="H83" s="2" t="s">
        <v>266</v>
      </c>
      <c r="I83" s="2" t="s">
        <v>213</v>
      </c>
    </row>
    <row r="84" customFormat="false" ht="15" hidden="false" customHeight="false" outlineLevel="0" collapsed="false">
      <c r="A84" s="2" t="s">
        <v>267</v>
      </c>
      <c r="B84" s="2" t="s">
        <v>211</v>
      </c>
      <c r="C84" s="2" t="s">
        <v>11</v>
      </c>
      <c r="D84" s="2" t="s">
        <v>268</v>
      </c>
      <c r="E84" s="2" t="s">
        <v>13</v>
      </c>
      <c r="F84" s="2" t="s">
        <v>14</v>
      </c>
      <c r="G84" s="2" t="s">
        <v>15</v>
      </c>
      <c r="H84" s="2" t="s">
        <v>269</v>
      </c>
      <c r="I84" s="2" t="s">
        <v>213</v>
      </c>
    </row>
    <row r="85" customFormat="false" ht="15" hidden="false" customHeight="false" outlineLevel="0" collapsed="false">
      <c r="A85" s="2" t="s">
        <v>270</v>
      </c>
      <c r="B85" s="2" t="s">
        <v>211</v>
      </c>
      <c r="C85" s="2" t="s">
        <v>11</v>
      </c>
      <c r="D85" s="2" t="s">
        <v>271</v>
      </c>
      <c r="E85" s="2" t="s">
        <v>13</v>
      </c>
      <c r="F85" s="2" t="s">
        <v>14</v>
      </c>
      <c r="G85" s="2" t="s">
        <v>15</v>
      </c>
      <c r="H85" s="2" t="s">
        <v>272</v>
      </c>
      <c r="I85" s="2" t="s">
        <v>213</v>
      </c>
    </row>
    <row r="86" customFormat="false" ht="15" hidden="false" customHeight="false" outlineLevel="0" collapsed="false">
      <c r="A86" s="2" t="s">
        <v>273</v>
      </c>
      <c r="B86" s="2" t="s">
        <v>211</v>
      </c>
      <c r="C86" s="2" t="s">
        <v>11</v>
      </c>
      <c r="D86" s="2" t="s">
        <v>274</v>
      </c>
      <c r="E86" s="2" t="s">
        <v>13</v>
      </c>
      <c r="F86" s="2" t="s">
        <v>14</v>
      </c>
      <c r="G86" s="2" t="s">
        <v>15</v>
      </c>
      <c r="H86" s="2" t="s">
        <v>275</v>
      </c>
      <c r="I86" s="2" t="s">
        <v>213</v>
      </c>
    </row>
    <row r="87" customFormat="false" ht="15" hidden="false" customHeight="false" outlineLevel="0" collapsed="false">
      <c r="A87" s="2" t="s">
        <v>276</v>
      </c>
      <c r="B87" s="2" t="s">
        <v>211</v>
      </c>
      <c r="C87" s="2" t="s">
        <v>11</v>
      </c>
      <c r="D87" s="2" t="s">
        <v>277</v>
      </c>
      <c r="E87" s="2" t="s">
        <v>13</v>
      </c>
      <c r="F87" s="2" t="s">
        <v>14</v>
      </c>
      <c r="G87" s="2" t="s">
        <v>15</v>
      </c>
      <c r="H87" s="2" t="s">
        <v>275</v>
      </c>
      <c r="I87" s="2" t="s">
        <v>213</v>
      </c>
    </row>
    <row r="88" customFormat="false" ht="15" hidden="false" customHeight="false" outlineLevel="0" collapsed="false">
      <c r="A88" s="2" t="s">
        <v>278</v>
      </c>
      <c r="B88" s="2" t="s">
        <v>211</v>
      </c>
      <c r="C88" s="2" t="s">
        <v>11</v>
      </c>
      <c r="D88" s="2" t="s">
        <v>279</v>
      </c>
      <c r="E88" s="2" t="s">
        <v>13</v>
      </c>
      <c r="F88" s="2" t="s">
        <v>14</v>
      </c>
      <c r="G88" s="2" t="s">
        <v>15</v>
      </c>
      <c r="H88" s="2"/>
      <c r="I88" s="2" t="s">
        <v>213</v>
      </c>
    </row>
    <row r="89" customFormat="false" ht="15" hidden="false" customHeight="false" outlineLevel="0" collapsed="false">
      <c r="A89" s="2" t="s">
        <v>280</v>
      </c>
      <c r="B89" s="2" t="s">
        <v>211</v>
      </c>
      <c r="C89" s="2" t="s">
        <v>11</v>
      </c>
      <c r="D89" s="2" t="s">
        <v>281</v>
      </c>
      <c r="E89" s="2" t="s">
        <v>13</v>
      </c>
      <c r="F89" s="2" t="s">
        <v>14</v>
      </c>
      <c r="G89" s="2" t="s">
        <v>15</v>
      </c>
      <c r="H89" s="2"/>
      <c r="I89" s="2" t="s">
        <v>213</v>
      </c>
    </row>
    <row r="90" customFormat="false" ht="15" hidden="false" customHeight="false" outlineLevel="0" collapsed="false">
      <c r="A90" s="2" t="s">
        <v>282</v>
      </c>
      <c r="B90" s="2" t="s">
        <v>211</v>
      </c>
      <c r="C90" s="2" t="s">
        <v>11</v>
      </c>
      <c r="D90" s="2" t="s">
        <v>283</v>
      </c>
      <c r="E90" s="2" t="s">
        <v>13</v>
      </c>
      <c r="F90" s="2" t="s">
        <v>14</v>
      </c>
      <c r="G90" s="2" t="s">
        <v>15</v>
      </c>
      <c r="H90" s="2"/>
      <c r="I90" s="2" t="s">
        <v>213</v>
      </c>
    </row>
    <row r="91" customFormat="false" ht="15" hidden="false" customHeight="false" outlineLevel="0" collapsed="false">
      <c r="A91" s="2" t="s">
        <v>284</v>
      </c>
      <c r="B91" s="2" t="s">
        <v>211</v>
      </c>
      <c r="C91" s="2" t="s">
        <v>11</v>
      </c>
      <c r="D91" s="2" t="s">
        <v>285</v>
      </c>
      <c r="E91" s="2" t="s">
        <v>13</v>
      </c>
      <c r="F91" s="2" t="s">
        <v>14</v>
      </c>
      <c r="G91" s="2" t="s">
        <v>15</v>
      </c>
      <c r="H91" s="2"/>
      <c r="I91" s="2" t="s">
        <v>213</v>
      </c>
    </row>
    <row r="92" customFormat="false" ht="15" hidden="false" customHeight="false" outlineLevel="0" collapsed="false">
      <c r="A92" s="2" t="s">
        <v>286</v>
      </c>
      <c r="B92" s="2" t="s">
        <v>211</v>
      </c>
      <c r="C92" s="2" t="s">
        <v>11</v>
      </c>
      <c r="D92" s="2" t="s">
        <v>287</v>
      </c>
      <c r="E92" s="2" t="s">
        <v>48</v>
      </c>
      <c r="F92" s="2" t="s">
        <v>14</v>
      </c>
      <c r="G92" s="2" t="s">
        <v>49</v>
      </c>
      <c r="H92" s="2" t="s">
        <v>288</v>
      </c>
      <c r="I92" s="2" t="s">
        <v>213</v>
      </c>
    </row>
    <row r="93" customFormat="false" ht="15" hidden="false" customHeight="false" outlineLevel="0" collapsed="false">
      <c r="A93" s="2" t="s">
        <v>289</v>
      </c>
      <c r="B93" s="2" t="s">
        <v>211</v>
      </c>
      <c r="C93" s="2" t="s">
        <v>11</v>
      </c>
      <c r="D93" s="2" t="s">
        <v>290</v>
      </c>
      <c r="E93" s="2" t="s">
        <v>48</v>
      </c>
      <c r="F93" s="2" t="s">
        <v>14</v>
      </c>
      <c r="G93" s="2" t="s">
        <v>49</v>
      </c>
      <c r="H93" s="2" t="s">
        <v>291</v>
      </c>
      <c r="I93" s="2" t="s">
        <v>213</v>
      </c>
    </row>
    <row r="94" customFormat="false" ht="15" hidden="false" customHeight="false" outlineLevel="0" collapsed="false">
      <c r="A94" s="2" t="s">
        <v>292</v>
      </c>
      <c r="B94" s="2" t="s">
        <v>211</v>
      </c>
      <c r="C94" s="2" t="s">
        <v>11</v>
      </c>
      <c r="D94" s="2" t="s">
        <v>293</v>
      </c>
      <c r="E94" s="2" t="s">
        <v>26</v>
      </c>
      <c r="F94" s="2" t="s">
        <v>14</v>
      </c>
      <c r="G94" s="2" t="s">
        <v>15</v>
      </c>
      <c r="H94" s="2"/>
      <c r="I94" s="2" t="s">
        <v>213</v>
      </c>
    </row>
    <row r="95" customFormat="false" ht="15" hidden="false" customHeight="false" outlineLevel="0" collapsed="false">
      <c r="A95" s="2" t="s">
        <v>294</v>
      </c>
      <c r="B95" s="2" t="s">
        <v>211</v>
      </c>
      <c r="C95" s="2" t="s">
        <v>11</v>
      </c>
      <c r="D95" s="2" t="s">
        <v>295</v>
      </c>
      <c r="E95" s="2" t="s">
        <v>149</v>
      </c>
      <c r="F95" s="2" t="s">
        <v>14</v>
      </c>
      <c r="G95" s="2" t="s">
        <v>15</v>
      </c>
      <c r="H95" s="2" t="s">
        <v>296</v>
      </c>
      <c r="I95" s="2" t="s">
        <v>213</v>
      </c>
    </row>
    <row r="96" customFormat="false" ht="15" hidden="false" customHeight="false" outlineLevel="0" collapsed="false">
      <c r="A96" s="2" t="s">
        <v>297</v>
      </c>
      <c r="B96" s="2" t="s">
        <v>211</v>
      </c>
      <c r="C96" s="2" t="s">
        <v>11</v>
      </c>
      <c r="D96" s="2" t="s">
        <v>298</v>
      </c>
      <c r="E96" s="2" t="s">
        <v>105</v>
      </c>
      <c r="F96" s="2" t="s">
        <v>232</v>
      </c>
      <c r="G96" s="2" t="s">
        <v>15</v>
      </c>
      <c r="H96" s="2" t="s">
        <v>299</v>
      </c>
      <c r="I96" s="2" t="s">
        <v>213</v>
      </c>
    </row>
    <row r="97" customFormat="false" ht="23.85" hidden="false" customHeight="false" outlineLevel="0" collapsed="false">
      <c r="A97" s="2" t="s">
        <v>300</v>
      </c>
      <c r="B97" s="2" t="s">
        <v>211</v>
      </c>
      <c r="C97" s="2" t="s">
        <v>11</v>
      </c>
      <c r="D97" s="2" t="s">
        <v>301</v>
      </c>
      <c r="E97" s="2" t="s">
        <v>33</v>
      </c>
      <c r="F97" s="2" t="s">
        <v>14</v>
      </c>
      <c r="G97" s="2" t="s">
        <v>35</v>
      </c>
      <c r="H97" s="2" t="s">
        <v>127</v>
      </c>
      <c r="I97" s="2" t="s">
        <v>213</v>
      </c>
    </row>
    <row r="98" customFormat="false" ht="15" hidden="false" customHeight="false" outlineLevel="0" collapsed="false">
      <c r="A98" s="2" t="s">
        <v>302</v>
      </c>
      <c r="B98" s="2" t="s">
        <v>211</v>
      </c>
      <c r="C98" s="2" t="s">
        <v>11</v>
      </c>
      <c r="D98" s="2" t="s">
        <v>303</v>
      </c>
      <c r="E98" s="2" t="s">
        <v>33</v>
      </c>
      <c r="F98" s="2" t="s">
        <v>14</v>
      </c>
      <c r="G98" s="2" t="s">
        <v>35</v>
      </c>
      <c r="H98" s="2" t="s">
        <v>179</v>
      </c>
      <c r="I98" s="2" t="s">
        <v>213</v>
      </c>
    </row>
    <row r="99" customFormat="false" ht="15" hidden="false" customHeight="false" outlineLevel="0" collapsed="false">
      <c r="A99" s="2" t="s">
        <v>304</v>
      </c>
      <c r="B99" s="2" t="s">
        <v>211</v>
      </c>
      <c r="C99" s="2" t="s">
        <v>11</v>
      </c>
      <c r="D99" s="2" t="s">
        <v>305</v>
      </c>
      <c r="E99" s="2" t="s">
        <v>26</v>
      </c>
      <c r="F99" s="2" t="s">
        <v>14</v>
      </c>
      <c r="G99" s="2" t="s">
        <v>15</v>
      </c>
      <c r="H99" s="2" t="s">
        <v>306</v>
      </c>
      <c r="I99" s="2" t="s">
        <v>213</v>
      </c>
    </row>
    <row r="100" customFormat="false" ht="23.85" hidden="false" customHeight="false" outlineLevel="0" collapsed="false">
      <c r="A100" s="2" t="s">
        <v>307</v>
      </c>
      <c r="B100" s="2" t="s">
        <v>211</v>
      </c>
      <c r="C100" s="2" t="s">
        <v>11</v>
      </c>
      <c r="D100" s="2" t="s">
        <v>308</v>
      </c>
      <c r="E100" s="2" t="s">
        <v>13</v>
      </c>
      <c r="F100" s="2" t="s">
        <v>14</v>
      </c>
      <c r="G100" s="2" t="s">
        <v>15</v>
      </c>
      <c r="H100" s="2" t="s">
        <v>309</v>
      </c>
      <c r="I100" s="2" t="s">
        <v>213</v>
      </c>
    </row>
    <row r="101" customFormat="false" ht="23.85" hidden="false" customHeight="false" outlineLevel="0" collapsed="false">
      <c r="A101" s="2" t="s">
        <v>310</v>
      </c>
      <c r="B101" s="2" t="s">
        <v>211</v>
      </c>
      <c r="C101" s="2" t="s">
        <v>11</v>
      </c>
      <c r="D101" s="2" t="s">
        <v>311</v>
      </c>
      <c r="E101" s="2" t="s">
        <v>13</v>
      </c>
      <c r="F101" s="2" t="s">
        <v>14</v>
      </c>
      <c r="G101" s="2" t="s">
        <v>15</v>
      </c>
      <c r="H101" s="2" t="s">
        <v>312</v>
      </c>
      <c r="I101" s="2" t="s">
        <v>213</v>
      </c>
    </row>
    <row r="102" customFormat="false" ht="15" hidden="false" customHeight="false" outlineLevel="0" collapsed="false">
      <c r="A102" s="2" t="s">
        <v>313</v>
      </c>
      <c r="B102" s="2" t="s">
        <v>211</v>
      </c>
      <c r="C102" s="2" t="s">
        <v>11</v>
      </c>
      <c r="D102" s="2" t="s">
        <v>314</v>
      </c>
      <c r="E102" s="2" t="s">
        <v>13</v>
      </c>
      <c r="F102" s="2" t="s">
        <v>14</v>
      </c>
      <c r="G102" s="2" t="s">
        <v>15</v>
      </c>
      <c r="H102" s="2" t="s">
        <v>315</v>
      </c>
      <c r="I102" s="2" t="s">
        <v>213</v>
      </c>
    </row>
    <row r="103" customFormat="false" ht="15" hidden="false" customHeight="false" outlineLevel="0" collapsed="false">
      <c r="A103" s="2" t="s">
        <v>316</v>
      </c>
      <c r="B103" s="2" t="s">
        <v>211</v>
      </c>
      <c r="C103" s="2" t="s">
        <v>11</v>
      </c>
      <c r="D103" s="2" t="s">
        <v>317</v>
      </c>
      <c r="E103" s="2" t="s">
        <v>33</v>
      </c>
      <c r="F103" s="2" t="s">
        <v>14</v>
      </c>
      <c r="G103" s="2" t="s">
        <v>35</v>
      </c>
      <c r="H103" s="2" t="s">
        <v>318</v>
      </c>
      <c r="I103" s="2" t="s">
        <v>213</v>
      </c>
    </row>
    <row r="104" customFormat="false" ht="15" hidden="false" customHeight="false" outlineLevel="0" collapsed="false">
      <c r="A104" s="2" t="s">
        <v>319</v>
      </c>
      <c r="B104" s="2" t="s">
        <v>211</v>
      </c>
      <c r="C104" s="2" t="s">
        <v>11</v>
      </c>
      <c r="D104" s="2" t="s">
        <v>320</v>
      </c>
      <c r="E104" s="2" t="s">
        <v>130</v>
      </c>
      <c r="F104" s="2" t="s">
        <v>14</v>
      </c>
      <c r="G104" s="2" t="s">
        <v>15</v>
      </c>
      <c r="H104" s="2" t="s">
        <v>321</v>
      </c>
      <c r="I104" s="2" t="s">
        <v>213</v>
      </c>
    </row>
    <row r="105" customFormat="false" ht="15" hidden="false" customHeight="false" outlineLevel="0" collapsed="false">
      <c r="A105" s="2" t="s">
        <v>322</v>
      </c>
      <c r="B105" s="2" t="s">
        <v>211</v>
      </c>
      <c r="C105" s="2" t="s">
        <v>11</v>
      </c>
      <c r="D105" s="2" t="s">
        <v>323</v>
      </c>
      <c r="E105" s="2" t="s">
        <v>33</v>
      </c>
      <c r="F105" s="2" t="s">
        <v>14</v>
      </c>
      <c r="G105" s="2" t="s">
        <v>35</v>
      </c>
      <c r="H105" s="2" t="s">
        <v>318</v>
      </c>
      <c r="I105" s="2" t="s">
        <v>213</v>
      </c>
    </row>
    <row r="106" customFormat="false" ht="23.85" hidden="false" customHeight="false" outlineLevel="0" collapsed="false">
      <c r="A106" s="2" t="s">
        <v>324</v>
      </c>
      <c r="B106" s="2" t="s">
        <v>211</v>
      </c>
      <c r="C106" s="2" t="s">
        <v>11</v>
      </c>
      <c r="D106" s="2" t="s">
        <v>325</v>
      </c>
      <c r="E106" s="2" t="s">
        <v>48</v>
      </c>
      <c r="F106" s="2" t="s">
        <v>14</v>
      </c>
      <c r="G106" s="2" t="s">
        <v>49</v>
      </c>
      <c r="H106" s="2" t="s">
        <v>326</v>
      </c>
      <c r="I106" s="2" t="s">
        <v>213</v>
      </c>
    </row>
    <row r="107" customFormat="false" ht="15" hidden="false" customHeight="false" outlineLevel="0" collapsed="false">
      <c r="A107" s="2" t="s">
        <v>327</v>
      </c>
      <c r="B107" s="2" t="s">
        <v>211</v>
      </c>
      <c r="C107" s="2" t="s">
        <v>11</v>
      </c>
      <c r="D107" s="2" t="s">
        <v>328</v>
      </c>
      <c r="E107" s="2" t="s">
        <v>105</v>
      </c>
      <c r="F107" s="2" t="s">
        <v>232</v>
      </c>
      <c r="G107" s="2" t="s">
        <v>15</v>
      </c>
      <c r="H107" s="2"/>
      <c r="I107" s="2" t="s">
        <v>213</v>
      </c>
    </row>
    <row r="108" customFormat="false" ht="15" hidden="false" customHeight="false" outlineLevel="0" collapsed="false">
      <c r="A108" s="2" t="s">
        <v>329</v>
      </c>
      <c r="B108" s="2" t="s">
        <v>211</v>
      </c>
      <c r="C108" s="2" t="s">
        <v>11</v>
      </c>
      <c r="D108" s="2" t="s">
        <v>330</v>
      </c>
      <c r="E108" s="2" t="s">
        <v>105</v>
      </c>
      <c r="F108" s="2" t="s">
        <v>14</v>
      </c>
      <c r="G108" s="2" t="s">
        <v>15</v>
      </c>
      <c r="H108" s="2" t="s">
        <v>331</v>
      </c>
      <c r="I108" s="2" t="s">
        <v>213</v>
      </c>
    </row>
    <row r="109" customFormat="false" ht="15" hidden="false" customHeight="false" outlineLevel="0" collapsed="false">
      <c r="A109" s="2" t="s">
        <v>332</v>
      </c>
      <c r="B109" s="2" t="s">
        <v>211</v>
      </c>
      <c r="C109" s="2" t="s">
        <v>11</v>
      </c>
      <c r="D109" s="2" t="s">
        <v>333</v>
      </c>
      <c r="E109" s="2" t="s">
        <v>105</v>
      </c>
      <c r="F109" s="2" t="s">
        <v>14</v>
      </c>
      <c r="G109" s="2" t="s">
        <v>15</v>
      </c>
      <c r="H109" s="2"/>
      <c r="I109" s="2" t="s">
        <v>213</v>
      </c>
    </row>
    <row r="110" customFormat="false" ht="15" hidden="false" customHeight="false" outlineLevel="0" collapsed="false">
      <c r="A110" s="2" t="s">
        <v>334</v>
      </c>
      <c r="B110" s="2" t="s">
        <v>211</v>
      </c>
      <c r="C110" s="2" t="s">
        <v>11</v>
      </c>
      <c r="D110" s="2" t="s">
        <v>335</v>
      </c>
      <c r="E110" s="2" t="s">
        <v>48</v>
      </c>
      <c r="F110" s="2" t="s">
        <v>14</v>
      </c>
      <c r="G110" s="2" t="s">
        <v>49</v>
      </c>
      <c r="H110" s="2"/>
      <c r="I110" s="2" t="s">
        <v>213</v>
      </c>
    </row>
    <row r="111" customFormat="false" ht="15" hidden="false" customHeight="false" outlineLevel="0" collapsed="false">
      <c r="A111" s="2" t="s">
        <v>336</v>
      </c>
      <c r="B111" s="2" t="s">
        <v>211</v>
      </c>
      <c r="C111" s="2" t="s">
        <v>11</v>
      </c>
      <c r="D111" s="2" t="s">
        <v>337</v>
      </c>
      <c r="E111" s="2" t="s">
        <v>105</v>
      </c>
      <c r="F111" s="2" t="s">
        <v>232</v>
      </c>
      <c r="G111" s="2" t="s">
        <v>15</v>
      </c>
      <c r="H111" s="2"/>
      <c r="I111" s="2" t="s">
        <v>213</v>
      </c>
    </row>
    <row r="112" customFormat="false" ht="15" hidden="false" customHeight="false" outlineLevel="0" collapsed="false">
      <c r="A112" s="2" t="s">
        <v>338</v>
      </c>
      <c r="B112" s="2" t="s">
        <v>211</v>
      </c>
      <c r="C112" s="2" t="s">
        <v>11</v>
      </c>
      <c r="D112" s="2" t="s">
        <v>339</v>
      </c>
      <c r="E112" s="2" t="s">
        <v>26</v>
      </c>
      <c r="F112" s="2" t="s">
        <v>14</v>
      </c>
      <c r="G112" s="2" t="s">
        <v>15</v>
      </c>
      <c r="H112" s="2" t="s">
        <v>340</v>
      </c>
      <c r="I112" s="2" t="s">
        <v>213</v>
      </c>
    </row>
    <row r="113" customFormat="false" ht="15" hidden="false" customHeight="false" outlineLevel="0" collapsed="false">
      <c r="A113" s="2" t="s">
        <v>341</v>
      </c>
      <c r="B113" s="2" t="s">
        <v>211</v>
      </c>
      <c r="C113" s="2" t="s">
        <v>11</v>
      </c>
      <c r="D113" s="2" t="s">
        <v>342</v>
      </c>
      <c r="E113" s="2" t="s">
        <v>26</v>
      </c>
      <c r="F113" s="2" t="s">
        <v>14</v>
      </c>
      <c r="G113" s="2" t="s">
        <v>15</v>
      </c>
      <c r="H113" s="2"/>
      <c r="I113" s="2" t="s">
        <v>213</v>
      </c>
    </row>
    <row r="114" customFormat="false" ht="15" hidden="false" customHeight="false" outlineLevel="0" collapsed="false">
      <c r="A114" s="2" t="s">
        <v>343</v>
      </c>
      <c r="B114" s="2" t="s">
        <v>211</v>
      </c>
      <c r="C114" s="2" t="s">
        <v>11</v>
      </c>
      <c r="D114" s="2" t="s">
        <v>344</v>
      </c>
      <c r="E114" s="2" t="s">
        <v>26</v>
      </c>
      <c r="F114" s="2" t="s">
        <v>14</v>
      </c>
      <c r="G114" s="2" t="s">
        <v>15</v>
      </c>
      <c r="H114" s="2" t="s">
        <v>345</v>
      </c>
      <c r="I114" s="2" t="s">
        <v>213</v>
      </c>
    </row>
    <row r="115" customFormat="false" ht="15" hidden="false" customHeight="false" outlineLevel="0" collapsed="false">
      <c r="A115" s="2" t="s">
        <v>346</v>
      </c>
      <c r="B115" s="2" t="s">
        <v>211</v>
      </c>
      <c r="C115" s="2" t="s">
        <v>11</v>
      </c>
      <c r="D115" s="2" t="s">
        <v>347</v>
      </c>
      <c r="E115" s="2" t="s">
        <v>13</v>
      </c>
      <c r="F115" s="2" t="s">
        <v>14</v>
      </c>
      <c r="G115" s="2" t="s">
        <v>15</v>
      </c>
      <c r="H115" s="2" t="s">
        <v>348</v>
      </c>
      <c r="I115" s="2" t="s">
        <v>213</v>
      </c>
    </row>
    <row r="116" customFormat="false" ht="15" hidden="false" customHeight="false" outlineLevel="0" collapsed="false">
      <c r="A116" s="2" t="s">
        <v>349</v>
      </c>
      <c r="B116" s="2" t="s">
        <v>211</v>
      </c>
      <c r="C116" s="2" t="s">
        <v>11</v>
      </c>
      <c r="D116" s="2" t="s">
        <v>350</v>
      </c>
      <c r="E116" s="2" t="s">
        <v>165</v>
      </c>
      <c r="F116" s="2" t="s">
        <v>14</v>
      </c>
      <c r="G116" s="2" t="s">
        <v>15</v>
      </c>
      <c r="H116" s="2" t="s">
        <v>351</v>
      </c>
      <c r="I116" s="2" t="s">
        <v>213</v>
      </c>
    </row>
    <row r="117" customFormat="false" ht="15" hidden="false" customHeight="false" outlineLevel="0" collapsed="false">
      <c r="A117" s="2" t="s">
        <v>352</v>
      </c>
      <c r="B117" s="2" t="s">
        <v>211</v>
      </c>
      <c r="C117" s="2" t="s">
        <v>11</v>
      </c>
      <c r="D117" s="2" t="s">
        <v>353</v>
      </c>
      <c r="E117" s="2" t="s">
        <v>48</v>
      </c>
      <c r="F117" s="2" t="s">
        <v>14</v>
      </c>
      <c r="G117" s="2" t="s">
        <v>49</v>
      </c>
      <c r="H117" s="2"/>
      <c r="I117" s="2" t="s">
        <v>213</v>
      </c>
    </row>
    <row r="118" customFormat="false" ht="15" hidden="false" customHeight="false" outlineLevel="0" collapsed="false">
      <c r="A118" s="2" t="s">
        <v>354</v>
      </c>
      <c r="B118" s="2" t="s">
        <v>211</v>
      </c>
      <c r="C118" s="2" t="s">
        <v>11</v>
      </c>
      <c r="D118" s="2" t="s">
        <v>355</v>
      </c>
      <c r="E118" s="2" t="s">
        <v>13</v>
      </c>
      <c r="F118" s="2" t="s">
        <v>34</v>
      </c>
      <c r="G118" s="2" t="s">
        <v>15</v>
      </c>
      <c r="H118" s="2" t="s">
        <v>223</v>
      </c>
      <c r="I118" s="2" t="s">
        <v>213</v>
      </c>
    </row>
    <row r="119" customFormat="false" ht="15" hidden="false" customHeight="false" outlineLevel="0" collapsed="false">
      <c r="A119" s="2" t="s">
        <v>356</v>
      </c>
      <c r="B119" s="2" t="s">
        <v>211</v>
      </c>
      <c r="C119" s="2" t="s">
        <v>11</v>
      </c>
      <c r="D119" s="2" t="s">
        <v>357</v>
      </c>
      <c r="E119" s="2" t="s">
        <v>105</v>
      </c>
      <c r="F119" s="2" t="s">
        <v>232</v>
      </c>
      <c r="G119" s="2" t="s">
        <v>15</v>
      </c>
      <c r="H119" s="2" t="s">
        <v>358</v>
      </c>
      <c r="I119" s="2" t="s">
        <v>213</v>
      </c>
    </row>
    <row r="120" customFormat="false" ht="15" hidden="false" customHeight="false" outlineLevel="0" collapsed="false">
      <c r="A120" s="2" t="s">
        <v>359</v>
      </c>
      <c r="B120" s="2" t="s">
        <v>211</v>
      </c>
      <c r="C120" s="2" t="s">
        <v>11</v>
      </c>
      <c r="D120" s="2" t="s">
        <v>360</v>
      </c>
      <c r="E120" s="2" t="s">
        <v>26</v>
      </c>
      <c r="F120" s="2" t="s">
        <v>14</v>
      </c>
      <c r="G120" s="2" t="s">
        <v>15</v>
      </c>
      <c r="H120" s="2" t="s">
        <v>361</v>
      </c>
      <c r="I120" s="2" t="s">
        <v>213</v>
      </c>
    </row>
    <row r="121" customFormat="false" ht="15" hidden="false" customHeight="false" outlineLevel="0" collapsed="false">
      <c r="A121" s="2" t="s">
        <v>362</v>
      </c>
      <c r="B121" s="2" t="s">
        <v>211</v>
      </c>
      <c r="C121" s="2" t="s">
        <v>363</v>
      </c>
      <c r="D121" s="2" t="s">
        <v>364</v>
      </c>
      <c r="E121" s="2" t="s">
        <v>26</v>
      </c>
      <c r="F121" s="2" t="s">
        <v>14</v>
      </c>
      <c r="G121" s="2" t="s">
        <v>15</v>
      </c>
      <c r="H121" s="2" t="s">
        <v>365</v>
      </c>
      <c r="I121" s="2" t="s">
        <v>366</v>
      </c>
    </row>
    <row r="122" customFormat="false" ht="15" hidden="false" customHeight="false" outlineLevel="0" collapsed="false">
      <c r="A122" s="2" t="s">
        <v>367</v>
      </c>
      <c r="B122" s="2" t="s">
        <v>211</v>
      </c>
      <c r="C122" s="2" t="s">
        <v>363</v>
      </c>
      <c r="D122" s="2" t="s">
        <v>368</v>
      </c>
      <c r="E122" s="2" t="s">
        <v>26</v>
      </c>
      <c r="F122" s="2" t="s">
        <v>14</v>
      </c>
      <c r="G122" s="2" t="s">
        <v>15</v>
      </c>
      <c r="H122" s="2" t="s">
        <v>206</v>
      </c>
      <c r="I122" s="2" t="s">
        <v>366</v>
      </c>
    </row>
    <row r="123" customFormat="false" ht="15" hidden="false" customHeight="false" outlineLevel="0" collapsed="false">
      <c r="A123" s="2" t="s">
        <v>369</v>
      </c>
      <c r="B123" s="2" t="s">
        <v>211</v>
      </c>
      <c r="C123" s="2" t="s">
        <v>363</v>
      </c>
      <c r="D123" s="2" t="s">
        <v>370</v>
      </c>
      <c r="E123" s="2" t="s">
        <v>33</v>
      </c>
      <c r="F123" s="2" t="s">
        <v>14</v>
      </c>
      <c r="G123" s="2" t="s">
        <v>35</v>
      </c>
      <c r="H123" s="2" t="s">
        <v>179</v>
      </c>
      <c r="I123" s="2" t="s">
        <v>366</v>
      </c>
    </row>
    <row r="124" customFormat="false" ht="15" hidden="false" customHeight="false" outlineLevel="0" collapsed="false">
      <c r="A124" s="2" t="s">
        <v>371</v>
      </c>
      <c r="B124" s="2" t="s">
        <v>211</v>
      </c>
      <c r="C124" s="2" t="s">
        <v>363</v>
      </c>
      <c r="D124" s="2" t="s">
        <v>372</v>
      </c>
      <c r="E124" s="2" t="s">
        <v>48</v>
      </c>
      <c r="F124" s="2" t="s">
        <v>14</v>
      </c>
      <c r="G124" s="2" t="s">
        <v>49</v>
      </c>
      <c r="H124" s="2"/>
      <c r="I124" s="2" t="s">
        <v>366</v>
      </c>
    </row>
    <row r="125" customFormat="false" ht="15" hidden="false" customHeight="false" outlineLevel="0" collapsed="false">
      <c r="A125" s="2" t="s">
        <v>373</v>
      </c>
      <c r="B125" s="2" t="s">
        <v>211</v>
      </c>
      <c r="C125" s="2" t="s">
        <v>363</v>
      </c>
      <c r="D125" s="2" t="s">
        <v>374</v>
      </c>
      <c r="E125" s="2" t="s">
        <v>48</v>
      </c>
      <c r="F125" s="2" t="s">
        <v>14</v>
      </c>
      <c r="G125" s="2" t="s">
        <v>49</v>
      </c>
      <c r="H125" s="2" t="s">
        <v>375</v>
      </c>
      <c r="I125" s="2" t="s">
        <v>366</v>
      </c>
    </row>
    <row r="126" customFormat="false" ht="15" hidden="false" customHeight="false" outlineLevel="0" collapsed="false">
      <c r="A126" s="2" t="s">
        <v>376</v>
      </c>
      <c r="B126" s="2" t="s">
        <v>211</v>
      </c>
      <c r="C126" s="2" t="s">
        <v>363</v>
      </c>
      <c r="D126" s="2" t="s">
        <v>377</v>
      </c>
      <c r="E126" s="2" t="s">
        <v>48</v>
      </c>
      <c r="F126" s="2" t="s">
        <v>14</v>
      </c>
      <c r="G126" s="2" t="s">
        <v>49</v>
      </c>
      <c r="H126" s="2"/>
      <c r="I126" s="2" t="s">
        <v>366</v>
      </c>
    </row>
    <row r="127" customFormat="false" ht="15" hidden="false" customHeight="false" outlineLevel="0" collapsed="false">
      <c r="A127" s="2" t="s">
        <v>378</v>
      </c>
      <c r="B127" s="2" t="s">
        <v>211</v>
      </c>
      <c r="C127" s="2" t="s">
        <v>363</v>
      </c>
      <c r="D127" s="2" t="s">
        <v>379</v>
      </c>
      <c r="E127" s="2" t="s">
        <v>33</v>
      </c>
      <c r="F127" s="2" t="s">
        <v>14</v>
      </c>
      <c r="G127" s="2" t="s">
        <v>35</v>
      </c>
      <c r="H127" s="2" t="s">
        <v>380</v>
      </c>
      <c r="I127" s="2" t="s">
        <v>366</v>
      </c>
    </row>
    <row r="128" customFormat="false" ht="15" hidden="false" customHeight="false" outlineLevel="0" collapsed="false">
      <c r="A128" s="2" t="s">
        <v>381</v>
      </c>
      <c r="B128" s="2" t="s">
        <v>211</v>
      </c>
      <c r="C128" s="2" t="s">
        <v>363</v>
      </c>
      <c r="D128" s="2" t="s">
        <v>382</v>
      </c>
      <c r="E128" s="2" t="s">
        <v>48</v>
      </c>
      <c r="F128" s="2" t="s">
        <v>14</v>
      </c>
      <c r="G128" s="2" t="s">
        <v>49</v>
      </c>
      <c r="H128" s="2"/>
      <c r="I128" s="2" t="s">
        <v>366</v>
      </c>
    </row>
    <row r="129" customFormat="false" ht="15" hidden="false" customHeight="false" outlineLevel="0" collapsed="false">
      <c r="A129" s="2" t="s">
        <v>383</v>
      </c>
      <c r="B129" s="2" t="s">
        <v>211</v>
      </c>
      <c r="C129" s="2" t="s">
        <v>363</v>
      </c>
      <c r="D129" s="2" t="s">
        <v>384</v>
      </c>
      <c r="E129" s="2" t="s">
        <v>48</v>
      </c>
      <c r="F129" s="2" t="s">
        <v>14</v>
      </c>
      <c r="G129" s="2" t="s">
        <v>49</v>
      </c>
      <c r="H129" s="2"/>
      <c r="I129" s="2" t="s">
        <v>366</v>
      </c>
    </row>
    <row r="130" customFormat="false" ht="15" hidden="false" customHeight="false" outlineLevel="0" collapsed="false">
      <c r="A130" s="2" t="s">
        <v>385</v>
      </c>
      <c r="B130" s="2" t="s">
        <v>211</v>
      </c>
      <c r="C130" s="2" t="s">
        <v>363</v>
      </c>
      <c r="D130" s="2" t="s">
        <v>386</v>
      </c>
      <c r="E130" s="2" t="s">
        <v>26</v>
      </c>
      <c r="F130" s="2" t="s">
        <v>14</v>
      </c>
      <c r="G130" s="2" t="s">
        <v>35</v>
      </c>
      <c r="H130" s="2" t="s">
        <v>387</v>
      </c>
      <c r="I130" s="2" t="s">
        <v>366</v>
      </c>
    </row>
    <row r="131" customFormat="false" ht="23.85" hidden="false" customHeight="false" outlineLevel="0" collapsed="false">
      <c r="A131" s="2" t="s">
        <v>388</v>
      </c>
      <c r="B131" s="2" t="s">
        <v>211</v>
      </c>
      <c r="C131" s="2" t="s">
        <v>363</v>
      </c>
      <c r="D131" s="2" t="s">
        <v>389</v>
      </c>
      <c r="E131" s="2" t="s">
        <v>26</v>
      </c>
      <c r="F131" s="2" t="s">
        <v>14</v>
      </c>
      <c r="G131" s="2" t="s">
        <v>15</v>
      </c>
      <c r="H131" s="2" t="s">
        <v>390</v>
      </c>
      <c r="I131" s="2" t="s">
        <v>366</v>
      </c>
    </row>
    <row r="132" customFormat="false" ht="15" hidden="false" customHeight="false" outlineLevel="0" collapsed="false">
      <c r="A132" s="2" t="s">
        <v>391</v>
      </c>
      <c r="B132" s="2" t="s">
        <v>211</v>
      </c>
      <c r="C132" s="2" t="s">
        <v>363</v>
      </c>
      <c r="D132" s="2" t="s">
        <v>392</v>
      </c>
      <c r="E132" s="2" t="s">
        <v>13</v>
      </c>
      <c r="F132" s="2" t="s">
        <v>14</v>
      </c>
      <c r="G132" s="2" t="s">
        <v>15</v>
      </c>
      <c r="H132" s="2" t="s">
        <v>393</v>
      </c>
      <c r="I132" s="2" t="s">
        <v>366</v>
      </c>
    </row>
    <row r="133" customFormat="false" ht="15" hidden="false" customHeight="false" outlineLevel="0" collapsed="false">
      <c r="A133" s="2" t="s">
        <v>394</v>
      </c>
      <c r="B133" s="2" t="s">
        <v>211</v>
      </c>
      <c r="C133" s="2" t="s">
        <v>363</v>
      </c>
      <c r="D133" s="2" t="s">
        <v>395</v>
      </c>
      <c r="E133" s="2" t="s">
        <v>48</v>
      </c>
      <c r="F133" s="2" t="s">
        <v>14</v>
      </c>
      <c r="G133" s="2" t="s">
        <v>49</v>
      </c>
      <c r="H133" s="2"/>
      <c r="I133" s="2" t="s">
        <v>366</v>
      </c>
    </row>
    <row r="134" customFormat="false" ht="15" hidden="false" customHeight="false" outlineLevel="0" collapsed="false">
      <c r="A134" s="2" t="s">
        <v>396</v>
      </c>
      <c r="B134" s="2" t="s">
        <v>211</v>
      </c>
      <c r="C134" s="2" t="s">
        <v>363</v>
      </c>
      <c r="D134" s="2" t="s">
        <v>397</v>
      </c>
      <c r="E134" s="2" t="s">
        <v>33</v>
      </c>
      <c r="F134" s="2" t="s">
        <v>14</v>
      </c>
      <c r="G134" s="2" t="s">
        <v>35</v>
      </c>
      <c r="H134" s="2" t="s">
        <v>179</v>
      </c>
      <c r="I134" s="2" t="s">
        <v>366</v>
      </c>
    </row>
    <row r="135" customFormat="false" ht="15" hidden="false" customHeight="false" outlineLevel="0" collapsed="false">
      <c r="A135" s="2" t="s">
        <v>398</v>
      </c>
      <c r="B135" s="2" t="s">
        <v>211</v>
      </c>
      <c r="C135" s="2" t="s">
        <v>363</v>
      </c>
      <c r="D135" s="2" t="s">
        <v>399</v>
      </c>
      <c r="E135" s="2" t="s">
        <v>13</v>
      </c>
      <c r="F135" s="2" t="s">
        <v>14</v>
      </c>
      <c r="G135" s="2" t="s">
        <v>15</v>
      </c>
      <c r="H135" s="2" t="s">
        <v>272</v>
      </c>
      <c r="I135" s="2" t="s">
        <v>366</v>
      </c>
    </row>
    <row r="136" customFormat="false" ht="15" hidden="false" customHeight="false" outlineLevel="0" collapsed="false">
      <c r="A136" s="2" t="s">
        <v>400</v>
      </c>
      <c r="B136" s="2" t="s">
        <v>211</v>
      </c>
      <c r="C136" s="2" t="s">
        <v>363</v>
      </c>
      <c r="D136" s="2" t="s">
        <v>401</v>
      </c>
      <c r="E136" s="2" t="s">
        <v>13</v>
      </c>
      <c r="F136" s="2" t="s">
        <v>14</v>
      </c>
      <c r="G136" s="2" t="s">
        <v>15</v>
      </c>
      <c r="H136" s="2" t="s">
        <v>67</v>
      </c>
      <c r="I136" s="2" t="s">
        <v>366</v>
      </c>
    </row>
    <row r="137" customFormat="false" ht="15" hidden="false" customHeight="false" outlineLevel="0" collapsed="false">
      <c r="A137" s="2" t="s">
        <v>402</v>
      </c>
      <c r="B137" s="2" t="s">
        <v>211</v>
      </c>
      <c r="C137" s="2" t="s">
        <v>363</v>
      </c>
      <c r="D137" s="2" t="s">
        <v>403</v>
      </c>
      <c r="E137" s="2" t="s">
        <v>105</v>
      </c>
      <c r="F137" s="2" t="s">
        <v>232</v>
      </c>
      <c r="G137" s="2" t="s">
        <v>15</v>
      </c>
      <c r="H137" s="2"/>
      <c r="I137" s="2" t="s">
        <v>366</v>
      </c>
    </row>
    <row r="138" customFormat="false" ht="15" hidden="false" customHeight="false" outlineLevel="0" collapsed="false">
      <c r="A138" s="2" t="s">
        <v>404</v>
      </c>
      <c r="B138" s="2" t="s">
        <v>211</v>
      </c>
      <c r="C138" s="2" t="s">
        <v>363</v>
      </c>
      <c r="D138" s="2" t="s">
        <v>405</v>
      </c>
      <c r="E138" s="2" t="s">
        <v>105</v>
      </c>
      <c r="F138" s="2" t="s">
        <v>14</v>
      </c>
      <c r="G138" s="2" t="s">
        <v>15</v>
      </c>
      <c r="H138" s="2"/>
      <c r="I138" s="2" t="s">
        <v>366</v>
      </c>
    </row>
    <row r="139" customFormat="false" ht="15" hidden="false" customHeight="false" outlineLevel="0" collapsed="false">
      <c r="A139" s="2" t="s">
        <v>406</v>
      </c>
      <c r="B139" s="2" t="s">
        <v>211</v>
      </c>
      <c r="C139" s="2" t="s">
        <v>363</v>
      </c>
      <c r="D139" s="2" t="s">
        <v>407</v>
      </c>
      <c r="E139" s="2" t="s">
        <v>13</v>
      </c>
      <c r="F139" s="2" t="s">
        <v>14</v>
      </c>
      <c r="G139" s="2" t="s">
        <v>15</v>
      </c>
      <c r="H139" s="2" t="s">
        <v>408</v>
      </c>
      <c r="I139" s="2" t="s">
        <v>366</v>
      </c>
    </row>
    <row r="140" customFormat="false" ht="15" hidden="false" customHeight="false" outlineLevel="0" collapsed="false">
      <c r="A140" s="2" t="s">
        <v>409</v>
      </c>
      <c r="B140" s="2" t="s">
        <v>211</v>
      </c>
      <c r="C140" s="2" t="s">
        <v>363</v>
      </c>
      <c r="D140" s="2" t="s">
        <v>410</v>
      </c>
      <c r="E140" s="2" t="s">
        <v>13</v>
      </c>
      <c r="F140" s="2" t="s">
        <v>14</v>
      </c>
      <c r="G140" s="2" t="s">
        <v>15</v>
      </c>
      <c r="H140" s="2"/>
      <c r="I140" s="2" t="s">
        <v>366</v>
      </c>
    </row>
    <row r="141" customFormat="false" ht="23.85" hidden="false" customHeight="false" outlineLevel="0" collapsed="false">
      <c r="A141" s="2" t="s">
        <v>411</v>
      </c>
      <c r="B141" s="2" t="s">
        <v>211</v>
      </c>
      <c r="C141" s="2" t="s">
        <v>363</v>
      </c>
      <c r="D141" s="2" t="s">
        <v>412</v>
      </c>
      <c r="E141" s="2" t="s">
        <v>13</v>
      </c>
      <c r="F141" s="2" t="s">
        <v>14</v>
      </c>
      <c r="G141" s="2" t="s">
        <v>15</v>
      </c>
      <c r="H141" s="2" t="s">
        <v>413</v>
      </c>
      <c r="I141" s="2" t="s">
        <v>366</v>
      </c>
    </row>
    <row r="142" customFormat="false" ht="15" hidden="false" customHeight="false" outlineLevel="0" collapsed="false">
      <c r="A142" s="2" t="s">
        <v>414</v>
      </c>
      <c r="B142" s="2" t="s">
        <v>211</v>
      </c>
      <c r="C142" s="2" t="s">
        <v>363</v>
      </c>
      <c r="D142" s="2" t="s">
        <v>415</v>
      </c>
      <c r="E142" s="2" t="s">
        <v>48</v>
      </c>
      <c r="F142" s="2" t="s">
        <v>14</v>
      </c>
      <c r="G142" s="2" t="s">
        <v>49</v>
      </c>
      <c r="H142" s="2" t="s">
        <v>416</v>
      </c>
      <c r="I142" s="2" t="s">
        <v>366</v>
      </c>
    </row>
    <row r="143" customFormat="false" ht="15" hidden="false" customHeight="false" outlineLevel="0" collapsed="false">
      <c r="A143" s="2" t="s">
        <v>417</v>
      </c>
      <c r="B143" s="2" t="s">
        <v>211</v>
      </c>
      <c r="C143" s="2" t="s">
        <v>363</v>
      </c>
      <c r="D143" s="2" t="s">
        <v>418</v>
      </c>
      <c r="E143" s="2" t="s">
        <v>33</v>
      </c>
      <c r="F143" s="2" t="s">
        <v>34</v>
      </c>
      <c r="G143" s="2" t="s">
        <v>35</v>
      </c>
      <c r="H143" s="2" t="s">
        <v>179</v>
      </c>
      <c r="I143" s="2" t="s">
        <v>366</v>
      </c>
    </row>
    <row r="144" customFormat="false" ht="15" hidden="false" customHeight="false" outlineLevel="0" collapsed="false">
      <c r="A144" s="2" t="s">
        <v>419</v>
      </c>
      <c r="B144" s="2" t="s">
        <v>211</v>
      </c>
      <c r="C144" s="2" t="s">
        <v>363</v>
      </c>
      <c r="D144" s="2" t="s">
        <v>420</v>
      </c>
      <c r="E144" s="2" t="s">
        <v>33</v>
      </c>
      <c r="F144" s="2" t="s">
        <v>14</v>
      </c>
      <c r="G144" s="2" t="s">
        <v>35</v>
      </c>
      <c r="H144" s="2" t="s">
        <v>179</v>
      </c>
      <c r="I144" s="2" t="s">
        <v>366</v>
      </c>
    </row>
    <row r="145" customFormat="false" ht="23.85" hidden="false" customHeight="false" outlineLevel="0" collapsed="false">
      <c r="A145" s="2" t="s">
        <v>421</v>
      </c>
      <c r="B145" s="2" t="s">
        <v>211</v>
      </c>
      <c r="C145" s="2" t="s">
        <v>363</v>
      </c>
      <c r="D145" s="2" t="s">
        <v>422</v>
      </c>
      <c r="E145" s="2" t="s">
        <v>33</v>
      </c>
      <c r="F145" s="2" t="s">
        <v>14</v>
      </c>
      <c r="G145" s="2" t="s">
        <v>35</v>
      </c>
      <c r="H145" s="2" t="s">
        <v>179</v>
      </c>
      <c r="I145" s="2" t="s">
        <v>366</v>
      </c>
    </row>
    <row r="146" customFormat="false" ht="15" hidden="false" customHeight="false" outlineLevel="0" collapsed="false">
      <c r="A146" s="2" t="s">
        <v>423</v>
      </c>
      <c r="B146" s="2" t="s">
        <v>211</v>
      </c>
      <c r="C146" s="2" t="s">
        <v>363</v>
      </c>
      <c r="D146" s="2" t="s">
        <v>424</v>
      </c>
      <c r="E146" s="2" t="s">
        <v>33</v>
      </c>
      <c r="F146" s="2" t="s">
        <v>14</v>
      </c>
      <c r="G146" s="2" t="s">
        <v>35</v>
      </c>
      <c r="H146" s="2" t="s">
        <v>179</v>
      </c>
      <c r="I146" s="2" t="s">
        <v>366</v>
      </c>
    </row>
    <row r="147" customFormat="false" ht="15" hidden="false" customHeight="false" outlineLevel="0" collapsed="false">
      <c r="A147" s="2" t="s">
        <v>425</v>
      </c>
      <c r="B147" s="2" t="s">
        <v>211</v>
      </c>
      <c r="C147" s="2" t="s">
        <v>363</v>
      </c>
      <c r="D147" s="2" t="s">
        <v>426</v>
      </c>
      <c r="E147" s="2" t="s">
        <v>33</v>
      </c>
      <c r="F147" s="2" t="s">
        <v>14</v>
      </c>
      <c r="G147" s="2" t="s">
        <v>35</v>
      </c>
      <c r="H147" s="2" t="s">
        <v>179</v>
      </c>
      <c r="I147" s="2" t="s">
        <v>366</v>
      </c>
    </row>
    <row r="148" customFormat="false" ht="15" hidden="false" customHeight="false" outlineLevel="0" collapsed="false">
      <c r="A148" s="2" t="s">
        <v>427</v>
      </c>
      <c r="B148" s="2" t="s">
        <v>211</v>
      </c>
      <c r="C148" s="2" t="s">
        <v>363</v>
      </c>
      <c r="D148" s="2" t="s">
        <v>428</v>
      </c>
      <c r="E148" s="2" t="s">
        <v>48</v>
      </c>
      <c r="F148" s="2" t="s">
        <v>14</v>
      </c>
      <c r="G148" s="2" t="s">
        <v>49</v>
      </c>
      <c r="H148" s="2"/>
      <c r="I148" s="2" t="s">
        <v>366</v>
      </c>
    </row>
    <row r="149" customFormat="false" ht="15" hidden="false" customHeight="false" outlineLevel="0" collapsed="false">
      <c r="A149" s="2" t="s">
        <v>429</v>
      </c>
      <c r="B149" s="2" t="s">
        <v>211</v>
      </c>
      <c r="C149" s="2" t="s">
        <v>363</v>
      </c>
      <c r="D149" s="2" t="s">
        <v>430</v>
      </c>
      <c r="E149" s="2" t="s">
        <v>33</v>
      </c>
      <c r="F149" s="2" t="s">
        <v>14</v>
      </c>
      <c r="G149" s="2" t="s">
        <v>35</v>
      </c>
      <c r="H149" s="2" t="s">
        <v>179</v>
      </c>
      <c r="I149" s="2" t="s">
        <v>366</v>
      </c>
    </row>
    <row r="150" customFormat="false" ht="15" hidden="false" customHeight="false" outlineLevel="0" collapsed="false">
      <c r="A150" s="2" t="s">
        <v>431</v>
      </c>
      <c r="B150" s="2" t="s">
        <v>211</v>
      </c>
      <c r="C150" s="2" t="s">
        <v>363</v>
      </c>
      <c r="D150" s="2" t="s">
        <v>432</v>
      </c>
      <c r="E150" s="2" t="s">
        <v>13</v>
      </c>
      <c r="F150" s="2" t="s">
        <v>14</v>
      </c>
      <c r="G150" s="2" t="s">
        <v>15</v>
      </c>
      <c r="H150" s="2" t="s">
        <v>433</v>
      </c>
      <c r="I150" s="2" t="s">
        <v>366</v>
      </c>
    </row>
    <row r="151" customFormat="false" ht="15" hidden="false" customHeight="false" outlineLevel="0" collapsed="false">
      <c r="A151" s="2" t="s">
        <v>434</v>
      </c>
      <c r="B151" s="2" t="s">
        <v>211</v>
      </c>
      <c r="C151" s="2" t="s">
        <v>363</v>
      </c>
      <c r="D151" s="2" t="s">
        <v>435</v>
      </c>
      <c r="E151" s="2" t="s">
        <v>13</v>
      </c>
      <c r="F151" s="2" t="s">
        <v>14</v>
      </c>
      <c r="G151" s="2" t="s">
        <v>15</v>
      </c>
      <c r="H151" s="2" t="s">
        <v>436</v>
      </c>
      <c r="I151" s="2" t="s">
        <v>366</v>
      </c>
    </row>
    <row r="152" customFormat="false" ht="15" hidden="false" customHeight="false" outlineLevel="0" collapsed="false">
      <c r="A152" s="2" t="s">
        <v>437</v>
      </c>
      <c r="B152" s="2" t="s">
        <v>211</v>
      </c>
      <c r="C152" s="2" t="s">
        <v>363</v>
      </c>
      <c r="D152" s="2" t="s">
        <v>438</v>
      </c>
      <c r="E152" s="2" t="s">
        <v>13</v>
      </c>
      <c r="F152" s="2" t="s">
        <v>14</v>
      </c>
      <c r="G152" s="2" t="s">
        <v>15</v>
      </c>
      <c r="H152" s="2" t="s">
        <v>439</v>
      </c>
      <c r="I152" s="2" t="s">
        <v>366</v>
      </c>
    </row>
    <row r="153" customFormat="false" ht="15" hidden="false" customHeight="false" outlineLevel="0" collapsed="false">
      <c r="A153" s="2" t="s">
        <v>440</v>
      </c>
      <c r="B153" s="2" t="s">
        <v>211</v>
      </c>
      <c r="C153" s="2" t="s">
        <v>363</v>
      </c>
      <c r="D153" s="2" t="s">
        <v>441</v>
      </c>
      <c r="E153" s="2" t="s">
        <v>33</v>
      </c>
      <c r="F153" s="2" t="s">
        <v>14</v>
      </c>
      <c r="G153" s="2" t="s">
        <v>35</v>
      </c>
      <c r="H153" s="2" t="s">
        <v>179</v>
      </c>
      <c r="I153" s="2" t="s">
        <v>366</v>
      </c>
    </row>
    <row r="154" customFormat="false" ht="15" hidden="false" customHeight="false" outlineLevel="0" collapsed="false">
      <c r="A154" s="2" t="s">
        <v>442</v>
      </c>
      <c r="B154" s="2" t="s">
        <v>211</v>
      </c>
      <c r="C154" s="2" t="s">
        <v>363</v>
      </c>
      <c r="D154" s="2" t="s">
        <v>443</v>
      </c>
      <c r="E154" s="2" t="s">
        <v>33</v>
      </c>
      <c r="F154" s="2" t="s">
        <v>14</v>
      </c>
      <c r="G154" s="2" t="s">
        <v>35</v>
      </c>
      <c r="H154" s="2" t="s">
        <v>444</v>
      </c>
      <c r="I154" s="2" t="s">
        <v>366</v>
      </c>
    </row>
    <row r="155" customFormat="false" ht="15" hidden="false" customHeight="false" outlineLevel="0" collapsed="false">
      <c r="A155" s="2" t="s">
        <v>445</v>
      </c>
      <c r="B155" s="2" t="s">
        <v>211</v>
      </c>
      <c r="C155" s="2" t="s">
        <v>363</v>
      </c>
      <c r="D155" s="2" t="s">
        <v>446</v>
      </c>
      <c r="E155" s="2" t="s">
        <v>33</v>
      </c>
      <c r="F155" s="2" t="s">
        <v>14</v>
      </c>
      <c r="G155" s="2" t="s">
        <v>35</v>
      </c>
      <c r="H155" s="2" t="s">
        <v>179</v>
      </c>
      <c r="I155" s="2" t="s">
        <v>366</v>
      </c>
    </row>
    <row r="156" customFormat="false" ht="23.85" hidden="false" customHeight="false" outlineLevel="0" collapsed="false">
      <c r="A156" s="2" t="s">
        <v>447</v>
      </c>
      <c r="B156" s="2" t="s">
        <v>448</v>
      </c>
      <c r="C156" s="2" t="s">
        <v>449</v>
      </c>
      <c r="D156" s="2" t="s">
        <v>450</v>
      </c>
      <c r="E156" s="2" t="s">
        <v>13</v>
      </c>
      <c r="F156" s="2" t="s">
        <v>34</v>
      </c>
      <c r="G156" s="2" t="s">
        <v>15</v>
      </c>
      <c r="H156" s="2" t="s">
        <v>451</v>
      </c>
      <c r="I156" s="2" t="s">
        <v>452</v>
      </c>
    </row>
    <row r="157" customFormat="false" ht="23.85" hidden="false" customHeight="false" outlineLevel="0" collapsed="false">
      <c r="A157" s="2" t="s">
        <v>453</v>
      </c>
      <c r="B157" s="2" t="s">
        <v>448</v>
      </c>
      <c r="C157" s="2" t="s">
        <v>449</v>
      </c>
      <c r="D157" s="2" t="s">
        <v>454</v>
      </c>
      <c r="E157" s="2" t="s">
        <v>48</v>
      </c>
      <c r="F157" s="2" t="s">
        <v>14</v>
      </c>
      <c r="G157" s="2" t="s">
        <v>49</v>
      </c>
      <c r="H157" s="2"/>
      <c r="I157" s="2" t="s">
        <v>452</v>
      </c>
    </row>
    <row r="158" customFormat="false" ht="23.85" hidden="false" customHeight="false" outlineLevel="0" collapsed="false">
      <c r="A158" s="2" t="s">
        <v>455</v>
      </c>
      <c r="B158" s="2" t="s">
        <v>448</v>
      </c>
      <c r="C158" s="2" t="s">
        <v>449</v>
      </c>
      <c r="D158" s="2" t="s">
        <v>456</v>
      </c>
      <c r="E158" s="2" t="s">
        <v>48</v>
      </c>
      <c r="F158" s="2" t="s">
        <v>14</v>
      </c>
      <c r="G158" s="2" t="s">
        <v>49</v>
      </c>
      <c r="H158" s="2"/>
      <c r="I158" s="2" t="s">
        <v>452</v>
      </c>
    </row>
    <row r="159" customFormat="false" ht="23.85" hidden="false" customHeight="false" outlineLevel="0" collapsed="false">
      <c r="A159" s="2" t="s">
        <v>457</v>
      </c>
      <c r="B159" s="2" t="s">
        <v>448</v>
      </c>
      <c r="C159" s="2" t="s">
        <v>449</v>
      </c>
      <c r="D159" s="2" t="s">
        <v>458</v>
      </c>
      <c r="E159" s="2" t="s">
        <v>105</v>
      </c>
      <c r="F159" s="2" t="s">
        <v>14</v>
      </c>
      <c r="G159" s="2" t="s">
        <v>15</v>
      </c>
      <c r="H159" s="2" t="s">
        <v>459</v>
      </c>
      <c r="I159" s="2" t="s">
        <v>452</v>
      </c>
    </row>
    <row r="160" customFormat="false" ht="23.85" hidden="false" customHeight="false" outlineLevel="0" collapsed="false">
      <c r="A160" s="2" t="s">
        <v>460</v>
      </c>
      <c r="B160" s="2" t="s">
        <v>448</v>
      </c>
      <c r="C160" s="2" t="s">
        <v>449</v>
      </c>
      <c r="D160" s="2" t="s">
        <v>461</v>
      </c>
      <c r="E160" s="2" t="s">
        <v>105</v>
      </c>
      <c r="F160" s="2" t="s">
        <v>14</v>
      </c>
      <c r="G160" s="2" t="s">
        <v>15</v>
      </c>
      <c r="H160" s="2" t="s">
        <v>462</v>
      </c>
      <c r="I160" s="2" t="s">
        <v>452</v>
      </c>
    </row>
    <row r="161" customFormat="false" ht="23.85" hidden="false" customHeight="false" outlineLevel="0" collapsed="false">
      <c r="A161" s="2" t="s">
        <v>463</v>
      </c>
      <c r="B161" s="2" t="s">
        <v>448</v>
      </c>
      <c r="C161" s="2" t="s">
        <v>449</v>
      </c>
      <c r="D161" s="2" t="s">
        <v>464</v>
      </c>
      <c r="E161" s="2" t="s">
        <v>13</v>
      </c>
      <c r="F161" s="2" t="s">
        <v>14</v>
      </c>
      <c r="G161" s="2" t="s">
        <v>15</v>
      </c>
      <c r="H161" s="2" t="s">
        <v>465</v>
      </c>
      <c r="I161" s="2" t="s">
        <v>452</v>
      </c>
    </row>
    <row r="162" customFormat="false" ht="23.85" hidden="false" customHeight="false" outlineLevel="0" collapsed="false">
      <c r="A162" s="2" t="s">
        <v>466</v>
      </c>
      <c r="B162" s="2" t="s">
        <v>448</v>
      </c>
      <c r="C162" s="2" t="s">
        <v>449</v>
      </c>
      <c r="D162" s="2" t="s">
        <v>467</v>
      </c>
      <c r="E162" s="2" t="s">
        <v>13</v>
      </c>
      <c r="F162" s="2" t="s">
        <v>14</v>
      </c>
      <c r="G162" s="2" t="s">
        <v>15</v>
      </c>
      <c r="H162" s="2" t="s">
        <v>468</v>
      </c>
      <c r="I162" s="2" t="s">
        <v>452</v>
      </c>
    </row>
    <row r="163" customFormat="false" ht="23.85" hidden="false" customHeight="false" outlineLevel="0" collapsed="false">
      <c r="A163" s="2" t="s">
        <v>469</v>
      </c>
      <c r="B163" s="2" t="s">
        <v>448</v>
      </c>
      <c r="C163" s="2" t="s">
        <v>449</v>
      </c>
      <c r="D163" s="2" t="s">
        <v>470</v>
      </c>
      <c r="E163" s="2" t="s">
        <v>26</v>
      </c>
      <c r="F163" s="2" t="s">
        <v>14</v>
      </c>
      <c r="G163" s="2" t="s">
        <v>15</v>
      </c>
      <c r="H163" s="2"/>
      <c r="I163" s="2" t="s">
        <v>452</v>
      </c>
    </row>
    <row r="164" customFormat="false" ht="23.85" hidden="false" customHeight="false" outlineLevel="0" collapsed="false">
      <c r="A164" s="2" t="s">
        <v>471</v>
      </c>
      <c r="B164" s="2" t="s">
        <v>448</v>
      </c>
      <c r="C164" s="2" t="s">
        <v>449</v>
      </c>
      <c r="D164" s="2" t="s">
        <v>472</v>
      </c>
      <c r="E164" s="2" t="s">
        <v>13</v>
      </c>
      <c r="F164" s="2" t="s">
        <v>14</v>
      </c>
      <c r="G164" s="2" t="s">
        <v>15</v>
      </c>
      <c r="H164" s="2" t="s">
        <v>272</v>
      </c>
      <c r="I164" s="2" t="s">
        <v>452</v>
      </c>
    </row>
    <row r="165" customFormat="false" ht="23.85" hidden="false" customHeight="false" outlineLevel="0" collapsed="false">
      <c r="A165" s="2" t="s">
        <v>473</v>
      </c>
      <c r="B165" s="2" t="s">
        <v>448</v>
      </c>
      <c r="C165" s="2" t="s">
        <v>449</v>
      </c>
      <c r="D165" s="2" t="s">
        <v>474</v>
      </c>
      <c r="E165" s="2" t="s">
        <v>13</v>
      </c>
      <c r="F165" s="2" t="s">
        <v>14</v>
      </c>
      <c r="G165" s="2" t="s">
        <v>15</v>
      </c>
      <c r="H165" s="2" t="s">
        <v>475</v>
      </c>
      <c r="I165" s="2" t="s">
        <v>452</v>
      </c>
    </row>
    <row r="166" customFormat="false" ht="23.85" hidden="false" customHeight="false" outlineLevel="0" collapsed="false">
      <c r="A166" s="2" t="s">
        <v>476</v>
      </c>
      <c r="B166" s="2" t="s">
        <v>448</v>
      </c>
      <c r="C166" s="2" t="s">
        <v>449</v>
      </c>
      <c r="D166" s="2" t="s">
        <v>477</v>
      </c>
      <c r="E166" s="2" t="s">
        <v>33</v>
      </c>
      <c r="F166" s="2" t="s">
        <v>14</v>
      </c>
      <c r="G166" s="2" t="s">
        <v>35</v>
      </c>
      <c r="H166" s="2" t="s">
        <v>179</v>
      </c>
      <c r="I166" s="2" t="s">
        <v>452</v>
      </c>
    </row>
    <row r="167" customFormat="false" ht="23.85" hidden="false" customHeight="false" outlineLevel="0" collapsed="false">
      <c r="A167" s="2" t="s">
        <v>478</v>
      </c>
      <c r="B167" s="2" t="s">
        <v>448</v>
      </c>
      <c r="C167" s="2" t="s">
        <v>449</v>
      </c>
      <c r="D167" s="2" t="s">
        <v>479</v>
      </c>
      <c r="E167" s="2" t="s">
        <v>13</v>
      </c>
      <c r="F167" s="2" t="s">
        <v>14</v>
      </c>
      <c r="G167" s="2" t="s">
        <v>35</v>
      </c>
      <c r="H167" s="2" t="s">
        <v>480</v>
      </c>
      <c r="I167" s="2" t="s">
        <v>452</v>
      </c>
    </row>
    <row r="168" customFormat="false" ht="23.85" hidden="false" customHeight="false" outlineLevel="0" collapsed="false">
      <c r="A168" s="2" t="s">
        <v>481</v>
      </c>
      <c r="B168" s="2" t="s">
        <v>448</v>
      </c>
      <c r="C168" s="2" t="s">
        <v>449</v>
      </c>
      <c r="D168" s="2" t="s">
        <v>482</v>
      </c>
      <c r="E168" s="2" t="s">
        <v>13</v>
      </c>
      <c r="F168" s="2" t="s">
        <v>14</v>
      </c>
      <c r="G168" s="2" t="s">
        <v>35</v>
      </c>
      <c r="H168" s="2" t="s">
        <v>483</v>
      </c>
      <c r="I168" s="2" t="s">
        <v>452</v>
      </c>
    </row>
    <row r="169" customFormat="false" ht="23.85" hidden="false" customHeight="false" outlineLevel="0" collapsed="false">
      <c r="A169" s="2" t="s">
        <v>484</v>
      </c>
      <c r="B169" s="2" t="s">
        <v>448</v>
      </c>
      <c r="C169" s="2" t="s">
        <v>449</v>
      </c>
      <c r="D169" s="2" t="s">
        <v>485</v>
      </c>
      <c r="E169" s="2" t="s">
        <v>48</v>
      </c>
      <c r="F169" s="2" t="s">
        <v>14</v>
      </c>
      <c r="G169" s="2" t="s">
        <v>49</v>
      </c>
      <c r="H169" s="2" t="s">
        <v>486</v>
      </c>
      <c r="I169" s="2" t="s">
        <v>452</v>
      </c>
    </row>
    <row r="170" customFormat="false" ht="23.85" hidden="false" customHeight="false" outlineLevel="0" collapsed="false">
      <c r="A170" s="2" t="s">
        <v>487</v>
      </c>
      <c r="B170" s="2" t="s">
        <v>448</v>
      </c>
      <c r="C170" s="2" t="s">
        <v>61</v>
      </c>
      <c r="D170" s="2" t="s">
        <v>488</v>
      </c>
      <c r="E170" s="2" t="s">
        <v>48</v>
      </c>
      <c r="F170" s="2" t="s">
        <v>14</v>
      </c>
      <c r="G170" s="2" t="s">
        <v>49</v>
      </c>
      <c r="H170" s="2"/>
      <c r="I170" s="2" t="s">
        <v>489</v>
      </c>
    </row>
    <row r="171" customFormat="false" ht="23.85" hidden="false" customHeight="false" outlineLevel="0" collapsed="false">
      <c r="A171" s="2" t="s">
        <v>490</v>
      </c>
      <c r="B171" s="2" t="s">
        <v>448</v>
      </c>
      <c r="C171" s="2" t="s">
        <v>61</v>
      </c>
      <c r="D171" s="2" t="s">
        <v>491</v>
      </c>
      <c r="E171" s="2" t="s">
        <v>13</v>
      </c>
      <c r="F171" s="2" t="s">
        <v>14</v>
      </c>
      <c r="G171" s="2" t="s">
        <v>35</v>
      </c>
      <c r="H171" s="2" t="s">
        <v>492</v>
      </c>
      <c r="I171" s="2" t="s">
        <v>489</v>
      </c>
    </row>
    <row r="172" customFormat="false" ht="23.85" hidden="false" customHeight="false" outlineLevel="0" collapsed="false">
      <c r="A172" s="2" t="s">
        <v>493</v>
      </c>
      <c r="B172" s="2" t="s">
        <v>448</v>
      </c>
      <c r="C172" s="2" t="s">
        <v>61</v>
      </c>
      <c r="D172" s="2" t="s">
        <v>494</v>
      </c>
      <c r="E172" s="2" t="s">
        <v>130</v>
      </c>
      <c r="F172" s="2" t="s">
        <v>14</v>
      </c>
      <c r="G172" s="2" t="s">
        <v>49</v>
      </c>
      <c r="H172" s="2" t="s">
        <v>495</v>
      </c>
      <c r="I172" s="2" t="s">
        <v>489</v>
      </c>
    </row>
    <row r="173" customFormat="false" ht="23.85" hidden="false" customHeight="false" outlineLevel="0" collapsed="false">
      <c r="A173" s="2" t="s">
        <v>496</v>
      </c>
      <c r="B173" s="2" t="s">
        <v>448</v>
      </c>
      <c r="C173" s="2" t="s">
        <v>61</v>
      </c>
      <c r="D173" s="2" t="s">
        <v>497</v>
      </c>
      <c r="E173" s="2" t="s">
        <v>13</v>
      </c>
      <c r="F173" s="2" t="s">
        <v>14</v>
      </c>
      <c r="G173" s="2" t="s">
        <v>15</v>
      </c>
      <c r="H173" s="2" t="s">
        <v>498</v>
      </c>
      <c r="I173" s="2" t="s">
        <v>489</v>
      </c>
    </row>
    <row r="174" customFormat="false" ht="15" hidden="false" customHeight="false" outlineLevel="0" collapsed="false">
      <c r="A174" s="2" t="s">
        <v>499</v>
      </c>
      <c r="B174" s="2" t="s">
        <v>448</v>
      </c>
      <c r="C174" s="2" t="s">
        <v>11</v>
      </c>
      <c r="D174" s="2" t="s">
        <v>500</v>
      </c>
      <c r="E174" s="2" t="s">
        <v>26</v>
      </c>
      <c r="F174" s="2" t="s">
        <v>14</v>
      </c>
      <c r="G174" s="2" t="s">
        <v>15</v>
      </c>
      <c r="H174" s="2"/>
      <c r="I174" s="2" t="s">
        <v>501</v>
      </c>
    </row>
    <row r="175" customFormat="false" ht="15" hidden="false" customHeight="false" outlineLevel="0" collapsed="false">
      <c r="A175" s="2" t="s">
        <v>502</v>
      </c>
      <c r="B175" s="2" t="s">
        <v>448</v>
      </c>
      <c r="C175" s="2" t="s">
        <v>11</v>
      </c>
      <c r="D175" s="2" t="s">
        <v>503</v>
      </c>
      <c r="E175" s="2" t="s">
        <v>165</v>
      </c>
      <c r="F175" s="2" t="s">
        <v>216</v>
      </c>
      <c r="G175" s="2" t="s">
        <v>15</v>
      </c>
      <c r="H175" s="2" t="s">
        <v>504</v>
      </c>
      <c r="I175" s="2" t="s">
        <v>501</v>
      </c>
    </row>
    <row r="176" customFormat="false" ht="15" hidden="false" customHeight="false" outlineLevel="0" collapsed="false">
      <c r="A176" s="2" t="s">
        <v>505</v>
      </c>
      <c r="B176" s="2" t="s">
        <v>448</v>
      </c>
      <c r="C176" s="2" t="s">
        <v>11</v>
      </c>
      <c r="D176" s="2" t="s">
        <v>506</v>
      </c>
      <c r="E176" s="2" t="s">
        <v>48</v>
      </c>
      <c r="F176" s="2" t="s">
        <v>14</v>
      </c>
      <c r="G176" s="2" t="s">
        <v>49</v>
      </c>
      <c r="H176" s="2"/>
      <c r="I176" s="2" t="s">
        <v>501</v>
      </c>
    </row>
    <row r="177" customFormat="false" ht="15" hidden="false" customHeight="false" outlineLevel="0" collapsed="false">
      <c r="A177" s="2" t="s">
        <v>507</v>
      </c>
      <c r="B177" s="2" t="s">
        <v>448</v>
      </c>
      <c r="C177" s="2" t="s">
        <v>11</v>
      </c>
      <c r="D177" s="2" t="s">
        <v>508</v>
      </c>
      <c r="E177" s="2" t="s">
        <v>48</v>
      </c>
      <c r="F177" s="2" t="s">
        <v>14</v>
      </c>
      <c r="G177" s="2" t="s">
        <v>49</v>
      </c>
      <c r="H177" s="2"/>
      <c r="I177" s="2" t="s">
        <v>501</v>
      </c>
    </row>
    <row r="178" customFormat="false" ht="15" hidden="false" customHeight="false" outlineLevel="0" collapsed="false">
      <c r="A178" s="2" t="s">
        <v>509</v>
      </c>
      <c r="B178" s="2" t="s">
        <v>448</v>
      </c>
      <c r="C178" s="2" t="s">
        <v>510</v>
      </c>
      <c r="D178" s="2" t="s">
        <v>511</v>
      </c>
      <c r="E178" s="2" t="s">
        <v>13</v>
      </c>
      <c r="F178" s="2" t="s">
        <v>14</v>
      </c>
      <c r="G178" s="2" t="s">
        <v>35</v>
      </c>
      <c r="H178" s="2" t="s">
        <v>512</v>
      </c>
      <c r="I178" s="2" t="s">
        <v>513</v>
      </c>
    </row>
    <row r="179" customFormat="false" ht="15" hidden="false" customHeight="false" outlineLevel="0" collapsed="false">
      <c r="A179" s="2" t="s">
        <v>514</v>
      </c>
      <c r="B179" s="2" t="s">
        <v>448</v>
      </c>
      <c r="C179" s="2" t="s">
        <v>510</v>
      </c>
      <c r="D179" s="2" t="s">
        <v>515</v>
      </c>
      <c r="E179" s="2" t="s">
        <v>13</v>
      </c>
      <c r="F179" s="2" t="s">
        <v>14</v>
      </c>
      <c r="G179" s="2" t="s">
        <v>15</v>
      </c>
      <c r="H179" s="2" t="s">
        <v>67</v>
      </c>
      <c r="I179" s="2" t="s">
        <v>513</v>
      </c>
    </row>
    <row r="180" customFormat="false" ht="23.85" hidden="false" customHeight="false" outlineLevel="0" collapsed="false">
      <c r="A180" s="2" t="s">
        <v>516</v>
      </c>
      <c r="B180" s="2" t="s">
        <v>448</v>
      </c>
      <c r="C180" s="2" t="s">
        <v>517</v>
      </c>
      <c r="D180" s="2" t="s">
        <v>518</v>
      </c>
      <c r="E180" s="2" t="s">
        <v>26</v>
      </c>
      <c r="F180" s="2" t="s">
        <v>14</v>
      </c>
      <c r="G180" s="2" t="s">
        <v>15</v>
      </c>
      <c r="H180" s="2"/>
      <c r="I180" s="2" t="s">
        <v>519</v>
      </c>
    </row>
    <row r="181" customFormat="false" ht="23.85" hidden="false" customHeight="false" outlineLevel="0" collapsed="false">
      <c r="A181" s="2" t="s">
        <v>520</v>
      </c>
      <c r="B181" s="2" t="s">
        <v>448</v>
      </c>
      <c r="C181" s="2" t="s">
        <v>517</v>
      </c>
      <c r="D181" s="2" t="s">
        <v>521</v>
      </c>
      <c r="E181" s="2" t="s">
        <v>26</v>
      </c>
      <c r="F181" s="2" t="s">
        <v>14</v>
      </c>
      <c r="G181" s="2" t="s">
        <v>15</v>
      </c>
      <c r="H181" s="2" t="s">
        <v>522</v>
      </c>
      <c r="I181" s="2" t="s">
        <v>519</v>
      </c>
    </row>
    <row r="182" customFormat="false" ht="23.85" hidden="false" customHeight="false" outlineLevel="0" collapsed="false">
      <c r="A182" s="2" t="s">
        <v>523</v>
      </c>
      <c r="B182" s="2" t="s">
        <v>448</v>
      </c>
      <c r="C182" s="2" t="s">
        <v>524</v>
      </c>
      <c r="D182" s="2" t="s">
        <v>525</v>
      </c>
      <c r="E182" s="2" t="s">
        <v>48</v>
      </c>
      <c r="F182" s="2" t="s">
        <v>14</v>
      </c>
      <c r="G182" s="2" t="s">
        <v>49</v>
      </c>
      <c r="H182" s="2"/>
      <c r="I182" s="2" t="s">
        <v>526</v>
      </c>
    </row>
    <row r="183" customFormat="false" ht="23.85" hidden="false" customHeight="false" outlineLevel="0" collapsed="false">
      <c r="A183" s="2" t="s">
        <v>527</v>
      </c>
      <c r="B183" s="2" t="s">
        <v>448</v>
      </c>
      <c r="C183" s="2" t="s">
        <v>524</v>
      </c>
      <c r="D183" s="2" t="s">
        <v>528</v>
      </c>
      <c r="E183" s="2" t="s">
        <v>48</v>
      </c>
      <c r="F183" s="2" t="s">
        <v>14</v>
      </c>
      <c r="G183" s="2" t="s">
        <v>49</v>
      </c>
      <c r="H183" s="2" t="s">
        <v>529</v>
      </c>
      <c r="I183" s="2" t="s">
        <v>526</v>
      </c>
    </row>
    <row r="184" customFormat="false" ht="23.85" hidden="false" customHeight="false" outlineLevel="0" collapsed="false">
      <c r="A184" s="2" t="s">
        <v>530</v>
      </c>
      <c r="B184" s="2" t="s">
        <v>448</v>
      </c>
      <c r="C184" s="2" t="s">
        <v>524</v>
      </c>
      <c r="D184" s="2" t="s">
        <v>531</v>
      </c>
      <c r="E184" s="2" t="s">
        <v>48</v>
      </c>
      <c r="F184" s="2" t="s">
        <v>14</v>
      </c>
      <c r="G184" s="2" t="s">
        <v>49</v>
      </c>
      <c r="H184" s="2"/>
      <c r="I184" s="2" t="s">
        <v>526</v>
      </c>
    </row>
    <row r="185" customFormat="false" ht="15" hidden="false" customHeight="false" outlineLevel="0" collapsed="false">
      <c r="A185" s="2" t="s">
        <v>532</v>
      </c>
      <c r="B185" s="2" t="s">
        <v>533</v>
      </c>
      <c r="C185" s="2" t="s">
        <v>11</v>
      </c>
      <c r="D185" s="2" t="s">
        <v>534</v>
      </c>
      <c r="E185" s="2" t="s">
        <v>26</v>
      </c>
      <c r="F185" s="2" t="s">
        <v>34</v>
      </c>
      <c r="G185" s="2" t="s">
        <v>15</v>
      </c>
      <c r="H185" s="2"/>
      <c r="I185" s="2" t="s">
        <v>535</v>
      </c>
    </row>
    <row r="186" customFormat="false" ht="23.85" hidden="false" customHeight="false" outlineLevel="0" collapsed="false">
      <c r="A186" s="2" t="s">
        <v>536</v>
      </c>
      <c r="B186" s="2" t="s">
        <v>533</v>
      </c>
      <c r="C186" s="2" t="s">
        <v>11</v>
      </c>
      <c r="D186" s="2" t="s">
        <v>537</v>
      </c>
      <c r="E186" s="2" t="s">
        <v>26</v>
      </c>
      <c r="F186" s="2" t="s">
        <v>538</v>
      </c>
      <c r="G186" s="2" t="s">
        <v>15</v>
      </c>
      <c r="H186" s="2"/>
      <c r="I186" s="2" t="s">
        <v>539</v>
      </c>
    </row>
    <row r="187" customFormat="false" ht="23.85" hidden="false" customHeight="false" outlineLevel="0" collapsed="false">
      <c r="A187" s="2" t="s">
        <v>540</v>
      </c>
      <c r="B187" s="2" t="s">
        <v>533</v>
      </c>
      <c r="C187" s="2" t="s">
        <v>11</v>
      </c>
      <c r="D187" s="2" t="s">
        <v>541</v>
      </c>
      <c r="E187" s="2" t="s">
        <v>105</v>
      </c>
      <c r="F187" s="2" t="s">
        <v>14</v>
      </c>
      <c r="G187" s="2" t="s">
        <v>15</v>
      </c>
      <c r="H187" s="2"/>
      <c r="I187" s="2" t="s">
        <v>539</v>
      </c>
    </row>
    <row r="188" customFormat="false" ht="23.85" hidden="false" customHeight="false" outlineLevel="0" collapsed="false">
      <c r="A188" s="2" t="s">
        <v>542</v>
      </c>
      <c r="B188" s="2" t="s">
        <v>533</v>
      </c>
      <c r="C188" s="2" t="s">
        <v>543</v>
      </c>
      <c r="D188" s="2" t="s">
        <v>544</v>
      </c>
      <c r="E188" s="2" t="s">
        <v>26</v>
      </c>
      <c r="F188" s="2" t="s">
        <v>14</v>
      </c>
      <c r="G188" s="2" t="s">
        <v>15</v>
      </c>
      <c r="H188" s="2" t="s">
        <v>545</v>
      </c>
      <c r="I188" s="2" t="s">
        <v>546</v>
      </c>
    </row>
    <row r="189" customFormat="false" ht="15" hidden="false" customHeight="false" outlineLevel="0" collapsed="false">
      <c r="A189" s="2" t="s">
        <v>547</v>
      </c>
      <c r="B189" s="2" t="s">
        <v>533</v>
      </c>
      <c r="C189" s="2" t="s">
        <v>548</v>
      </c>
      <c r="D189" s="2" t="s">
        <v>549</v>
      </c>
      <c r="E189" s="2" t="s">
        <v>13</v>
      </c>
      <c r="F189" s="2" t="s">
        <v>14</v>
      </c>
      <c r="G189" s="2" t="s">
        <v>35</v>
      </c>
      <c r="H189" s="2" t="s">
        <v>550</v>
      </c>
      <c r="I189" s="2" t="s">
        <v>551</v>
      </c>
    </row>
    <row r="190" customFormat="false" ht="15" hidden="false" customHeight="false" outlineLevel="0" collapsed="false">
      <c r="A190" s="2" t="s">
        <v>552</v>
      </c>
      <c r="B190" s="2" t="s">
        <v>533</v>
      </c>
      <c r="C190" s="2" t="s">
        <v>548</v>
      </c>
      <c r="D190" s="2" t="s">
        <v>553</v>
      </c>
      <c r="E190" s="2" t="s">
        <v>105</v>
      </c>
      <c r="F190" s="2" t="s">
        <v>14</v>
      </c>
      <c r="G190" s="2" t="s">
        <v>15</v>
      </c>
      <c r="H190" s="2" t="s">
        <v>554</v>
      </c>
      <c r="I190" s="2" t="s">
        <v>551</v>
      </c>
    </row>
    <row r="191" customFormat="false" ht="15" hidden="false" customHeight="false" outlineLevel="0" collapsed="false">
      <c r="A191" s="2" t="s">
        <v>555</v>
      </c>
      <c r="B191" s="2" t="s">
        <v>533</v>
      </c>
      <c r="C191" s="2" t="s">
        <v>548</v>
      </c>
      <c r="D191" s="2" t="s">
        <v>556</v>
      </c>
      <c r="E191" s="2" t="s">
        <v>33</v>
      </c>
      <c r="F191" s="2" t="s">
        <v>538</v>
      </c>
      <c r="G191" s="2" t="s">
        <v>35</v>
      </c>
      <c r="H191" s="2" t="s">
        <v>557</v>
      </c>
      <c r="I191" s="2" t="s">
        <v>551</v>
      </c>
    </row>
    <row r="192" customFormat="false" ht="15" hidden="false" customHeight="false" outlineLevel="0" collapsed="false">
      <c r="A192" s="2" t="s">
        <v>558</v>
      </c>
      <c r="B192" s="2" t="s">
        <v>533</v>
      </c>
      <c r="C192" s="2" t="s">
        <v>559</v>
      </c>
      <c r="D192" s="2" t="s">
        <v>560</v>
      </c>
      <c r="E192" s="2" t="s">
        <v>13</v>
      </c>
      <c r="F192" s="2" t="s">
        <v>14</v>
      </c>
      <c r="G192" s="2" t="s">
        <v>15</v>
      </c>
      <c r="H192" s="2" t="s">
        <v>67</v>
      </c>
      <c r="I192" s="2" t="s">
        <v>561</v>
      </c>
    </row>
    <row r="193" customFormat="false" ht="15" hidden="false" customHeight="false" outlineLevel="0" collapsed="false">
      <c r="A193" s="2" t="s">
        <v>562</v>
      </c>
      <c r="B193" s="2" t="s">
        <v>533</v>
      </c>
      <c r="C193" s="2" t="s">
        <v>559</v>
      </c>
      <c r="D193" s="2" t="s">
        <v>563</v>
      </c>
      <c r="E193" s="2" t="s">
        <v>13</v>
      </c>
      <c r="F193" s="2" t="s">
        <v>14</v>
      </c>
      <c r="G193" s="2" t="s">
        <v>15</v>
      </c>
      <c r="H193" s="2" t="s">
        <v>564</v>
      </c>
      <c r="I193" s="2" t="s">
        <v>561</v>
      </c>
    </row>
    <row r="194" customFormat="false" ht="23.85" hidden="false" customHeight="false" outlineLevel="0" collapsed="false">
      <c r="A194" s="2" t="s">
        <v>565</v>
      </c>
      <c r="B194" s="2" t="s">
        <v>533</v>
      </c>
      <c r="C194" s="2" t="s">
        <v>559</v>
      </c>
      <c r="D194" s="2" t="s">
        <v>566</v>
      </c>
      <c r="E194" s="2" t="s">
        <v>13</v>
      </c>
      <c r="F194" s="2" t="s">
        <v>14</v>
      </c>
      <c r="G194" s="2" t="s">
        <v>15</v>
      </c>
      <c r="H194" s="2" t="s">
        <v>567</v>
      </c>
      <c r="I194" s="2" t="s">
        <v>561</v>
      </c>
    </row>
    <row r="195" customFormat="false" ht="15" hidden="false" customHeight="false" outlineLevel="0" collapsed="false">
      <c r="A195" s="2" t="s">
        <v>568</v>
      </c>
      <c r="B195" s="2" t="s">
        <v>533</v>
      </c>
      <c r="C195" s="2" t="s">
        <v>559</v>
      </c>
      <c r="D195" s="2" t="s">
        <v>569</v>
      </c>
      <c r="E195" s="2" t="s">
        <v>130</v>
      </c>
      <c r="F195" s="2" t="s">
        <v>14</v>
      </c>
      <c r="G195" s="2" t="s">
        <v>15</v>
      </c>
      <c r="H195" s="2"/>
      <c r="I195" s="2" t="s">
        <v>561</v>
      </c>
    </row>
    <row r="196" customFormat="false" ht="23.85" hidden="false" customHeight="false" outlineLevel="0" collapsed="false">
      <c r="A196" s="2" t="s">
        <v>570</v>
      </c>
      <c r="B196" s="2" t="s">
        <v>533</v>
      </c>
      <c r="C196" s="2" t="s">
        <v>559</v>
      </c>
      <c r="D196" s="2" t="s">
        <v>571</v>
      </c>
      <c r="E196" s="2" t="s">
        <v>48</v>
      </c>
      <c r="F196" s="2" t="s">
        <v>14</v>
      </c>
      <c r="G196" s="2" t="s">
        <v>49</v>
      </c>
      <c r="H196" s="2"/>
      <c r="I196" s="2" t="s">
        <v>561</v>
      </c>
    </row>
    <row r="197" customFormat="false" ht="15" hidden="false" customHeight="false" outlineLevel="0" collapsed="false">
      <c r="A197" s="2" t="s">
        <v>572</v>
      </c>
      <c r="B197" s="2" t="s">
        <v>533</v>
      </c>
      <c r="C197" s="2" t="s">
        <v>559</v>
      </c>
      <c r="D197" s="2" t="s">
        <v>573</v>
      </c>
      <c r="E197" s="2" t="s">
        <v>48</v>
      </c>
      <c r="F197" s="2" t="s">
        <v>14</v>
      </c>
      <c r="G197" s="2" t="s">
        <v>49</v>
      </c>
      <c r="H197" s="2"/>
      <c r="I197" s="2" t="s">
        <v>561</v>
      </c>
    </row>
    <row r="198" customFormat="false" ht="15" hidden="false" customHeight="false" outlineLevel="0" collapsed="false">
      <c r="A198" s="2" t="s">
        <v>574</v>
      </c>
      <c r="B198" s="2" t="s">
        <v>575</v>
      </c>
      <c r="C198" s="2" t="s">
        <v>11</v>
      </c>
      <c r="D198" s="2" t="s">
        <v>576</v>
      </c>
      <c r="E198" s="2" t="s">
        <v>26</v>
      </c>
      <c r="F198" s="2" t="s">
        <v>14</v>
      </c>
      <c r="G198" s="2" t="s">
        <v>15</v>
      </c>
      <c r="H198" s="2"/>
      <c r="I198" s="2" t="s">
        <v>577</v>
      </c>
    </row>
    <row r="199" customFormat="false" ht="23.85" hidden="false" customHeight="false" outlineLevel="0" collapsed="false">
      <c r="A199" s="2" t="s">
        <v>578</v>
      </c>
      <c r="B199" s="2" t="s">
        <v>575</v>
      </c>
      <c r="C199" s="2" t="s">
        <v>11</v>
      </c>
      <c r="D199" s="2" t="s">
        <v>579</v>
      </c>
      <c r="E199" s="2" t="s">
        <v>26</v>
      </c>
      <c r="F199" s="2" t="s">
        <v>14</v>
      </c>
      <c r="G199" s="2" t="s">
        <v>35</v>
      </c>
      <c r="H199" s="2" t="s">
        <v>580</v>
      </c>
      <c r="I199" s="2" t="s">
        <v>577</v>
      </c>
    </row>
    <row r="200" customFormat="false" ht="15" hidden="false" customHeight="false" outlineLevel="0" collapsed="false">
      <c r="A200" s="2" t="s">
        <v>581</v>
      </c>
      <c r="B200" s="2" t="s">
        <v>575</v>
      </c>
      <c r="C200" s="2" t="s">
        <v>11</v>
      </c>
      <c r="D200" s="2" t="s">
        <v>582</v>
      </c>
      <c r="E200" s="2" t="s">
        <v>13</v>
      </c>
      <c r="F200" s="2" t="s">
        <v>14</v>
      </c>
      <c r="G200" s="2" t="s">
        <v>15</v>
      </c>
      <c r="H200" s="2"/>
      <c r="I200" s="2" t="s">
        <v>577</v>
      </c>
    </row>
    <row r="201" customFormat="false" ht="15" hidden="false" customHeight="false" outlineLevel="0" collapsed="false">
      <c r="A201" s="2" t="s">
        <v>583</v>
      </c>
      <c r="B201" s="2" t="s">
        <v>575</v>
      </c>
      <c r="C201" s="2" t="s">
        <v>11</v>
      </c>
      <c r="D201" s="2" t="s">
        <v>584</v>
      </c>
      <c r="E201" s="2" t="s">
        <v>13</v>
      </c>
      <c r="F201" s="2" t="s">
        <v>14</v>
      </c>
      <c r="G201" s="2" t="s">
        <v>15</v>
      </c>
      <c r="H201" s="2" t="s">
        <v>67</v>
      </c>
      <c r="I201" s="2" t="s">
        <v>577</v>
      </c>
    </row>
    <row r="202" customFormat="false" ht="15" hidden="false" customHeight="false" outlineLevel="0" collapsed="false">
      <c r="A202" s="2" t="s">
        <v>585</v>
      </c>
      <c r="B202" s="2" t="s">
        <v>575</v>
      </c>
      <c r="C202" s="2" t="s">
        <v>11</v>
      </c>
      <c r="D202" s="2" t="s">
        <v>586</v>
      </c>
      <c r="E202" s="2" t="s">
        <v>165</v>
      </c>
      <c r="F202" s="2" t="s">
        <v>587</v>
      </c>
      <c r="G202" s="2" t="s">
        <v>15</v>
      </c>
      <c r="H202" s="2" t="s">
        <v>588</v>
      </c>
      <c r="I202" s="2" t="s">
        <v>577</v>
      </c>
    </row>
    <row r="203" customFormat="false" ht="15" hidden="false" customHeight="false" outlineLevel="0" collapsed="false">
      <c r="A203" s="2" t="s">
        <v>589</v>
      </c>
      <c r="B203" s="2" t="s">
        <v>575</v>
      </c>
      <c r="C203" s="2" t="s">
        <v>11</v>
      </c>
      <c r="D203" s="2" t="s">
        <v>590</v>
      </c>
      <c r="E203" s="2" t="s">
        <v>149</v>
      </c>
      <c r="F203" s="2" t="s">
        <v>14</v>
      </c>
      <c r="G203" s="2" t="s">
        <v>35</v>
      </c>
      <c r="H203" s="2" t="s">
        <v>591</v>
      </c>
      <c r="I203" s="2" t="s">
        <v>577</v>
      </c>
    </row>
    <row r="204" customFormat="false" ht="15" hidden="false" customHeight="false" outlineLevel="0" collapsed="false">
      <c r="A204" s="2" t="s">
        <v>592</v>
      </c>
      <c r="B204" s="2" t="s">
        <v>575</v>
      </c>
      <c r="C204" s="2" t="s">
        <v>11</v>
      </c>
      <c r="D204" s="2" t="s">
        <v>593</v>
      </c>
      <c r="E204" s="2" t="s">
        <v>48</v>
      </c>
      <c r="F204" s="2" t="s">
        <v>14</v>
      </c>
      <c r="G204" s="2" t="s">
        <v>49</v>
      </c>
      <c r="H204" s="2"/>
      <c r="I204" s="2" t="s">
        <v>577</v>
      </c>
    </row>
    <row r="205" customFormat="false" ht="15" hidden="false" customHeight="false" outlineLevel="0" collapsed="false">
      <c r="A205" s="2" t="s">
        <v>594</v>
      </c>
      <c r="B205" s="2" t="s">
        <v>575</v>
      </c>
      <c r="C205" s="2" t="s">
        <v>11</v>
      </c>
      <c r="D205" s="2" t="s">
        <v>595</v>
      </c>
      <c r="E205" s="2" t="s">
        <v>48</v>
      </c>
      <c r="F205" s="2" t="s">
        <v>14</v>
      </c>
      <c r="G205" s="2" t="s">
        <v>49</v>
      </c>
      <c r="H205" s="2" t="s">
        <v>596</v>
      </c>
      <c r="I205" s="2" t="s">
        <v>577</v>
      </c>
    </row>
    <row r="206" customFormat="false" ht="15" hidden="false" customHeight="false" outlineLevel="0" collapsed="false">
      <c r="A206" s="2" t="s">
        <v>597</v>
      </c>
      <c r="B206" s="2" t="s">
        <v>575</v>
      </c>
      <c r="C206" s="2" t="s">
        <v>11</v>
      </c>
      <c r="D206" s="2" t="s">
        <v>598</v>
      </c>
      <c r="E206" s="2" t="s">
        <v>13</v>
      </c>
      <c r="F206" s="2" t="s">
        <v>14</v>
      </c>
      <c r="G206" s="2" t="s">
        <v>15</v>
      </c>
      <c r="H206" s="2" t="s">
        <v>599</v>
      </c>
      <c r="I206" s="2" t="s">
        <v>577</v>
      </c>
    </row>
    <row r="207" customFormat="false" ht="23.85" hidden="false" customHeight="false" outlineLevel="0" collapsed="false">
      <c r="A207" s="2" t="s">
        <v>600</v>
      </c>
      <c r="B207" s="2" t="s">
        <v>575</v>
      </c>
      <c r="C207" s="2" t="s">
        <v>11</v>
      </c>
      <c r="D207" s="2" t="s">
        <v>601</v>
      </c>
      <c r="E207" s="2" t="s">
        <v>13</v>
      </c>
      <c r="F207" s="2" t="s">
        <v>14</v>
      </c>
      <c r="G207" s="2" t="s">
        <v>35</v>
      </c>
      <c r="H207" s="2" t="s">
        <v>602</v>
      </c>
      <c r="I207" s="2" t="s">
        <v>577</v>
      </c>
    </row>
    <row r="208" customFormat="false" ht="15" hidden="false" customHeight="false" outlineLevel="0" collapsed="false">
      <c r="A208" s="2" t="s">
        <v>603</v>
      </c>
      <c r="B208" s="2" t="s">
        <v>575</v>
      </c>
      <c r="C208" s="2" t="s">
        <v>11</v>
      </c>
      <c r="D208" s="2" t="s">
        <v>604</v>
      </c>
      <c r="E208" s="2" t="s">
        <v>48</v>
      </c>
      <c r="F208" s="2" t="s">
        <v>14</v>
      </c>
      <c r="G208" s="2" t="s">
        <v>49</v>
      </c>
      <c r="H208" s="2"/>
      <c r="I208" s="2" t="s">
        <v>577</v>
      </c>
    </row>
    <row r="209" customFormat="false" ht="15" hidden="false" customHeight="false" outlineLevel="0" collapsed="false">
      <c r="A209" s="2" t="s">
        <v>605</v>
      </c>
      <c r="B209" s="2" t="s">
        <v>575</v>
      </c>
      <c r="C209" s="2" t="s">
        <v>11</v>
      </c>
      <c r="D209" s="2" t="s">
        <v>606</v>
      </c>
      <c r="E209" s="2" t="s">
        <v>33</v>
      </c>
      <c r="F209" s="2" t="s">
        <v>538</v>
      </c>
      <c r="G209" s="2" t="s">
        <v>35</v>
      </c>
      <c r="H209" s="2" t="s">
        <v>557</v>
      </c>
      <c r="I209" s="2" t="s">
        <v>577</v>
      </c>
    </row>
    <row r="210" customFormat="false" ht="15" hidden="false" customHeight="false" outlineLevel="0" collapsed="false">
      <c r="A210" s="2" t="s">
        <v>607</v>
      </c>
      <c r="B210" s="2" t="s">
        <v>575</v>
      </c>
      <c r="C210" s="2" t="s">
        <v>11</v>
      </c>
      <c r="D210" s="2" t="s">
        <v>608</v>
      </c>
      <c r="E210" s="2" t="s">
        <v>48</v>
      </c>
      <c r="F210" s="2" t="s">
        <v>14</v>
      </c>
      <c r="G210" s="2" t="s">
        <v>49</v>
      </c>
      <c r="H210" s="2"/>
      <c r="I210" s="2" t="s">
        <v>577</v>
      </c>
    </row>
    <row r="211" customFormat="false" ht="15" hidden="false" customHeight="false" outlineLevel="0" collapsed="false">
      <c r="A211" s="2" t="s">
        <v>609</v>
      </c>
      <c r="B211" s="2" t="s">
        <v>575</v>
      </c>
      <c r="C211" s="2" t="s">
        <v>11</v>
      </c>
      <c r="D211" s="2" t="s">
        <v>610</v>
      </c>
      <c r="E211" s="2" t="s">
        <v>13</v>
      </c>
      <c r="F211" s="2" t="s">
        <v>14</v>
      </c>
      <c r="G211" s="2" t="s">
        <v>15</v>
      </c>
      <c r="H211" s="2" t="s">
        <v>611</v>
      </c>
      <c r="I211" s="2" t="s">
        <v>577</v>
      </c>
    </row>
    <row r="212" customFormat="false" ht="15" hidden="false" customHeight="false" outlineLevel="0" collapsed="false">
      <c r="A212" s="2" t="s">
        <v>612</v>
      </c>
      <c r="B212" s="2" t="s">
        <v>575</v>
      </c>
      <c r="C212" s="2" t="s">
        <v>11</v>
      </c>
      <c r="D212" s="2" t="s">
        <v>613</v>
      </c>
      <c r="E212" s="2" t="s">
        <v>48</v>
      </c>
      <c r="F212" s="2" t="s">
        <v>14</v>
      </c>
      <c r="G212" s="2" t="s">
        <v>49</v>
      </c>
      <c r="H212" s="2"/>
      <c r="I212" s="2" t="s">
        <v>577</v>
      </c>
    </row>
    <row r="213" customFormat="false" ht="15" hidden="false" customHeight="false" outlineLevel="0" collapsed="false">
      <c r="A213" s="2" t="s">
        <v>614</v>
      </c>
      <c r="B213" s="2" t="s">
        <v>575</v>
      </c>
      <c r="C213" s="2" t="s">
        <v>11</v>
      </c>
      <c r="D213" s="2" t="s">
        <v>615</v>
      </c>
      <c r="E213" s="2" t="s">
        <v>33</v>
      </c>
      <c r="F213" s="2" t="s">
        <v>14</v>
      </c>
      <c r="G213" s="2" t="s">
        <v>35</v>
      </c>
      <c r="H213" s="2" t="s">
        <v>179</v>
      </c>
      <c r="I213" s="2" t="s">
        <v>577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4"/>
    <col collapsed="false" customWidth="true" hidden="false" outlineLevel="0" max="9" min="3" style="0" width="11"/>
  </cols>
  <sheetData>
    <row r="1" customFormat="false" ht="16.15" hidden="false" customHeight="false" outlineLevel="0" collapsed="false">
      <c r="A1" s="3" t="s">
        <v>616</v>
      </c>
    </row>
    <row r="2" customFormat="false" ht="15" hidden="false" customHeight="false" outlineLevel="0" collapsed="false">
      <c r="A2" s="4" t="s">
        <v>617</v>
      </c>
    </row>
    <row r="4" customFormat="false" ht="15" hidden="false" customHeight="false" outlineLevel="0" collapsed="false">
      <c r="A4" s="5" t="s">
        <v>4</v>
      </c>
      <c r="B4" s="5" t="s">
        <v>618</v>
      </c>
      <c r="C4" s="5" t="s">
        <v>10</v>
      </c>
      <c r="D4" s="5" t="s">
        <v>211</v>
      </c>
      <c r="E4" s="5" t="s">
        <v>448</v>
      </c>
      <c r="F4" s="5" t="s">
        <v>533</v>
      </c>
      <c r="G4" s="5" t="s">
        <v>575</v>
      </c>
      <c r="H4" s="5" t="s">
        <v>619</v>
      </c>
      <c r="I4" s="5" t="s">
        <v>620</v>
      </c>
    </row>
    <row r="5" customFormat="false" ht="15" hidden="false" customHeight="false" outlineLevel="0" collapsed="false">
      <c r="A5" s="6" t="s">
        <v>105</v>
      </c>
      <c r="B5" s="6" t="s">
        <v>621</v>
      </c>
      <c r="C5" s="6" t="n">
        <f aca="false">COUNTIFS(Rules!$E$2:$E$213,$A5,Rules!$B$2:$B$213,C$4)</f>
        <v>3</v>
      </c>
      <c r="D5" s="6" t="n">
        <f aca="false">COUNTIFS(Rules!$E$2:$E$213,$A5,Rules!$B$2:$B$213,D$4)</f>
        <v>13</v>
      </c>
      <c r="E5" s="6" t="n">
        <f aca="false">COUNTIFS(Rules!$E$2:$E$213,$A5,Rules!$B$2:$B$213,E$4)</f>
        <v>2</v>
      </c>
      <c r="F5" s="6" t="n">
        <f aca="false">COUNTIFS(Rules!$E$2:$E$213,$A5,Rules!$B$2:$B$213,F$4)</f>
        <v>2</v>
      </c>
      <c r="G5" s="6" t="n">
        <f aca="false">COUNTIFS(Rules!$E$2:$E$213,$A5,Rules!$B$2:$B$213,G$4)</f>
        <v>0</v>
      </c>
      <c r="H5" s="6" t="n">
        <f aca="false">SUM(C5:G5)</f>
        <v>20</v>
      </c>
      <c r="I5" s="7" t="n">
        <f aca="false">H5/H$13</f>
        <v>0.0943396226415094</v>
      </c>
    </row>
    <row r="6" customFormat="false" ht="15" hidden="false" customHeight="false" outlineLevel="0" collapsed="false">
      <c r="A6" s="6" t="s">
        <v>165</v>
      </c>
      <c r="B6" s="6" t="s">
        <v>622</v>
      </c>
      <c r="C6" s="6" t="n">
        <f aca="false">COUNTIFS(Rules!$E$2:$E$213,$A6,Rules!$B$2:$B$213,C$4)</f>
        <v>1</v>
      </c>
      <c r="D6" s="6" t="n">
        <f aca="false">COUNTIFS(Rules!$E$2:$E$213,$A6,Rules!$B$2:$B$213,D$4)</f>
        <v>1</v>
      </c>
      <c r="E6" s="6" t="n">
        <f aca="false">COUNTIFS(Rules!$E$2:$E$213,$A6,Rules!$B$2:$B$213,E$4)</f>
        <v>1</v>
      </c>
      <c r="F6" s="6" t="n">
        <f aca="false">COUNTIFS(Rules!$E$2:$E$213,$A6,Rules!$B$2:$B$213,F$4)</f>
        <v>0</v>
      </c>
      <c r="G6" s="6" t="n">
        <f aca="false">COUNTIFS(Rules!$E$2:$E$213,$A6,Rules!$B$2:$B$213,G$4)</f>
        <v>1</v>
      </c>
      <c r="H6" s="6" t="n">
        <f aca="false">SUM(C6:G6)</f>
        <v>4</v>
      </c>
      <c r="I6" s="7" t="n">
        <f aca="false">H6/H$13</f>
        <v>0.0188679245283019</v>
      </c>
    </row>
    <row r="7" customFormat="false" ht="15" hidden="false" customHeight="false" outlineLevel="0" collapsed="false">
      <c r="A7" s="6" t="s">
        <v>26</v>
      </c>
      <c r="B7" s="6" t="s">
        <v>623</v>
      </c>
      <c r="C7" s="6" t="n">
        <f aca="false">COUNTIFS(Rules!$E$2:$E$213,$A7,Rules!$B$2:$B$213,C$4)</f>
        <v>10</v>
      </c>
      <c r="D7" s="6" t="n">
        <f aca="false">COUNTIFS(Rules!$E$2:$E$213,$A7,Rules!$B$2:$B$213,D$4)</f>
        <v>12</v>
      </c>
      <c r="E7" s="6" t="n">
        <f aca="false">COUNTIFS(Rules!$E$2:$E$213,$A7,Rules!$B$2:$B$213,E$4)</f>
        <v>4</v>
      </c>
      <c r="F7" s="6" t="n">
        <f aca="false">COUNTIFS(Rules!$E$2:$E$213,$A7,Rules!$B$2:$B$213,F$4)</f>
        <v>3</v>
      </c>
      <c r="G7" s="6" t="n">
        <f aca="false">COUNTIFS(Rules!$E$2:$E$213,$A7,Rules!$B$2:$B$213,G$4)</f>
        <v>2</v>
      </c>
      <c r="H7" s="6" t="n">
        <f aca="false">SUM(C7:G7)</f>
        <v>31</v>
      </c>
      <c r="I7" s="7" t="n">
        <f aca="false">H7/H$13</f>
        <v>0.14622641509434</v>
      </c>
    </row>
    <row r="8" customFormat="false" ht="15" hidden="false" customHeight="false" outlineLevel="0" collapsed="false">
      <c r="A8" s="6" t="s">
        <v>13</v>
      </c>
      <c r="B8" s="6" t="s">
        <v>624</v>
      </c>
      <c r="C8" s="6" t="n">
        <f aca="false">COUNTIFS(Rules!$E$2:$E$213,$A8,Rules!$B$2:$B$213,C$4)</f>
        <v>17</v>
      </c>
      <c r="D8" s="6" t="n">
        <f aca="false">COUNTIFS(Rules!$E$2:$E$213,$A8,Rules!$B$2:$B$213,D$4)</f>
        <v>31</v>
      </c>
      <c r="E8" s="6" t="n">
        <f aca="false">COUNTIFS(Rules!$E$2:$E$213,$A8,Rules!$B$2:$B$213,E$4)</f>
        <v>11</v>
      </c>
      <c r="F8" s="6" t="n">
        <f aca="false">COUNTIFS(Rules!$E$2:$E$213,$A8,Rules!$B$2:$B$213,F$4)</f>
        <v>4</v>
      </c>
      <c r="G8" s="6" t="n">
        <f aca="false">COUNTIFS(Rules!$E$2:$E$213,$A8,Rules!$B$2:$B$213,G$4)</f>
        <v>5</v>
      </c>
      <c r="H8" s="6" t="n">
        <f aca="false">SUM(C8:G8)</f>
        <v>68</v>
      </c>
      <c r="I8" s="7" t="n">
        <f aca="false">H8/H$13</f>
        <v>0.320754716981132</v>
      </c>
    </row>
    <row r="9" customFormat="false" ht="15" hidden="false" customHeight="false" outlineLevel="0" collapsed="false">
      <c r="A9" s="6" t="s">
        <v>149</v>
      </c>
      <c r="B9" s="6" t="s">
        <v>625</v>
      </c>
      <c r="C9" s="6" t="n">
        <f aca="false">COUNTIFS(Rules!$E$2:$E$213,$A9,Rules!$B$2:$B$213,C$4)</f>
        <v>1</v>
      </c>
      <c r="D9" s="6" t="n">
        <f aca="false">COUNTIFS(Rules!$E$2:$E$213,$A9,Rules!$B$2:$B$213,D$4)</f>
        <v>1</v>
      </c>
      <c r="E9" s="6" t="n">
        <f aca="false">COUNTIFS(Rules!$E$2:$E$213,$A9,Rules!$B$2:$B$213,E$4)</f>
        <v>0</v>
      </c>
      <c r="F9" s="6" t="n">
        <f aca="false">COUNTIFS(Rules!$E$2:$E$213,$A9,Rules!$B$2:$B$213,F$4)</f>
        <v>0</v>
      </c>
      <c r="G9" s="6" t="n">
        <f aca="false">COUNTIFS(Rules!$E$2:$E$213,$A9,Rules!$B$2:$B$213,G$4)</f>
        <v>1</v>
      </c>
      <c r="H9" s="6" t="n">
        <f aca="false">SUM(C9:G9)</f>
        <v>3</v>
      </c>
      <c r="I9" s="7" t="n">
        <f aca="false">H9/H$13</f>
        <v>0.0141509433962264</v>
      </c>
    </row>
    <row r="10" customFormat="false" ht="15" hidden="false" customHeight="false" outlineLevel="0" collapsed="false">
      <c r="A10" s="6" t="s">
        <v>130</v>
      </c>
      <c r="B10" s="6" t="s">
        <v>626</v>
      </c>
      <c r="C10" s="6" t="n">
        <f aca="false">COUNTIFS(Rules!$E$2:$E$213,$A10,Rules!$B$2:$B$213,C$4)</f>
        <v>3</v>
      </c>
      <c r="D10" s="6" t="n">
        <f aca="false">COUNTIFS(Rules!$E$2:$E$213,$A10,Rules!$B$2:$B$213,D$4)</f>
        <v>1</v>
      </c>
      <c r="E10" s="6" t="n">
        <f aca="false">COUNTIFS(Rules!$E$2:$E$213,$A10,Rules!$B$2:$B$213,E$4)</f>
        <v>1</v>
      </c>
      <c r="F10" s="6" t="n">
        <f aca="false">COUNTIFS(Rules!$E$2:$E$213,$A10,Rules!$B$2:$B$213,F$4)</f>
        <v>1</v>
      </c>
      <c r="G10" s="6" t="n">
        <f aca="false">COUNTIFS(Rules!$E$2:$E$213,$A10,Rules!$B$2:$B$213,G$4)</f>
        <v>0</v>
      </c>
      <c r="H10" s="6" t="n">
        <f aca="false">SUM(C10:G10)</f>
        <v>6</v>
      </c>
      <c r="I10" s="7" t="n">
        <f aca="false">H10/H$13</f>
        <v>0.0283018867924528</v>
      </c>
    </row>
    <row r="11" customFormat="false" ht="15" hidden="false" customHeight="false" outlineLevel="0" collapsed="false">
      <c r="A11" s="6" t="s">
        <v>33</v>
      </c>
      <c r="B11" s="6" t="s">
        <v>627</v>
      </c>
      <c r="C11" s="6" t="n">
        <f aca="false">COUNTIFS(Rules!$E$2:$E$213,$A11,Rules!$B$2:$B$213,C$4)</f>
        <v>11</v>
      </c>
      <c r="D11" s="6" t="n">
        <f aca="false">COUNTIFS(Rules!$E$2:$E$213,$A11,Rules!$B$2:$B$213,D$4)</f>
        <v>17</v>
      </c>
      <c r="E11" s="6" t="n">
        <f aca="false">COUNTIFS(Rules!$E$2:$E$213,$A11,Rules!$B$2:$B$213,E$4)</f>
        <v>1</v>
      </c>
      <c r="F11" s="6" t="n">
        <f aca="false">COUNTIFS(Rules!$E$2:$E$213,$A11,Rules!$B$2:$B$213,F$4)</f>
        <v>1</v>
      </c>
      <c r="G11" s="6" t="n">
        <f aca="false">COUNTIFS(Rules!$E$2:$E$213,$A11,Rules!$B$2:$B$213,G$4)</f>
        <v>2</v>
      </c>
      <c r="H11" s="6" t="n">
        <f aca="false">SUM(C11:G11)</f>
        <v>32</v>
      </c>
      <c r="I11" s="7" t="n">
        <f aca="false">H11/H$13</f>
        <v>0.150943396226415</v>
      </c>
    </row>
    <row r="12" customFormat="false" ht="15" hidden="false" customHeight="false" outlineLevel="0" collapsed="false">
      <c r="A12" s="6" t="s">
        <v>48</v>
      </c>
      <c r="B12" s="6" t="s">
        <v>628</v>
      </c>
      <c r="C12" s="6" t="n">
        <f aca="false">COUNTIFS(Rules!$E$2:$E$213,$A12,Rules!$B$2:$B$213,C$4)</f>
        <v>16</v>
      </c>
      <c r="D12" s="6" t="n">
        <f aca="false">COUNTIFS(Rules!$E$2:$E$213,$A12,Rules!$B$2:$B$213,D$4)</f>
        <v>16</v>
      </c>
      <c r="E12" s="6" t="n">
        <f aca="false">COUNTIFS(Rules!$E$2:$E$213,$A12,Rules!$B$2:$B$213,E$4)</f>
        <v>9</v>
      </c>
      <c r="F12" s="6" t="n">
        <f aca="false">COUNTIFS(Rules!$E$2:$E$213,$A12,Rules!$B$2:$B$213,F$4)</f>
        <v>2</v>
      </c>
      <c r="G12" s="6" t="n">
        <f aca="false">COUNTIFS(Rules!$E$2:$E$213,$A12,Rules!$B$2:$B$213,G$4)</f>
        <v>5</v>
      </c>
      <c r="H12" s="6" t="n">
        <f aca="false">SUM(C12:G12)</f>
        <v>48</v>
      </c>
      <c r="I12" s="7" t="n">
        <f aca="false">H12/H$13</f>
        <v>0.226415094339623</v>
      </c>
    </row>
    <row r="13" customFormat="false" ht="15" hidden="false" customHeight="false" outlineLevel="0" collapsed="false">
      <c r="A13" s="8" t="s">
        <v>619</v>
      </c>
      <c r="B13" s="6"/>
      <c r="C13" s="8" t="n">
        <f aca="false">SUM(C5:C12)</f>
        <v>62</v>
      </c>
      <c r="D13" s="8" t="n">
        <f aca="false">SUM(D5:D12)</f>
        <v>92</v>
      </c>
      <c r="E13" s="8" t="n">
        <f aca="false">SUM(E5:E12)</f>
        <v>29</v>
      </c>
      <c r="F13" s="8" t="n">
        <f aca="false">SUM(F5:F12)</f>
        <v>13</v>
      </c>
      <c r="G13" s="8" t="n">
        <f aca="false">SUM(G5:G12)</f>
        <v>16</v>
      </c>
      <c r="H13" s="8" t="n">
        <f aca="false">SUM(H5:H12)</f>
        <v>212</v>
      </c>
      <c r="I13" s="7" t="n">
        <f aca="false">SUM(I5:I12)</f>
        <v>1</v>
      </c>
    </row>
    <row r="15" customFormat="false" ht="15" hidden="false" customHeight="false" outlineLevel="0" collapsed="false">
      <c r="A15" s="9" t="s">
        <v>629</v>
      </c>
    </row>
    <row r="16" customFormat="false" ht="15" hidden="false" customHeight="false" outlineLevel="0" collapsed="false">
      <c r="A16" s="10" t="s">
        <v>630</v>
      </c>
      <c r="B16" s="10" t="s">
        <v>631</v>
      </c>
      <c r="C16" s="10" t="s">
        <v>632</v>
      </c>
    </row>
    <row r="17" customFormat="false" ht="15" hidden="false" customHeight="false" outlineLevel="0" collapsed="false">
      <c r="A17" s="4" t="s">
        <v>633</v>
      </c>
      <c r="B17" s="4" t="n">
        <f aca="false">SUMPRODUCT((Rules!$E$2:$E$213="V")+(Rules!$E$2:$E$213="K")+(Rules!$E$2:$E$213="P")+(Rules!$E$2:$E$213="S")+(Rules!$E$2:$E$213="PL")+(Rules!$E$2:$E$213="R"))</f>
        <v>132</v>
      </c>
      <c r="C17" s="11" t="n">
        <f aca="false">B17/H13</f>
        <v>0.622641509433962</v>
      </c>
    </row>
    <row r="18" customFormat="false" ht="15" hidden="false" customHeight="false" outlineLevel="0" collapsed="false">
      <c r="A18" s="4" t="s">
        <v>634</v>
      </c>
      <c r="B18" s="4" t="n">
        <f aca="false">COUNTIF(Rules!$E$2:$E$213,"D")</f>
        <v>32</v>
      </c>
      <c r="C18" s="11" t="n">
        <f aca="false">B18/H13</f>
        <v>0.150943396226415</v>
      </c>
    </row>
    <row r="19" customFormat="false" ht="15" hidden="false" customHeight="false" outlineLevel="0" collapsed="false">
      <c r="A19" s="4" t="s">
        <v>635</v>
      </c>
      <c r="B19" s="4" t="n">
        <f aca="false">COUNTIF(Rules!$E$2:$E$213,"&lt;&gt;I")</f>
        <v>164</v>
      </c>
      <c r="C19" s="11" t="n">
        <f aca="false">B19/H13</f>
        <v>0.773584905660377</v>
      </c>
    </row>
    <row r="20" customFormat="false" ht="15" hidden="false" customHeight="false" outlineLevel="0" collapsed="false">
      <c r="A20" s="4" t="s">
        <v>636</v>
      </c>
      <c r="B20" s="4" t="n">
        <f aca="false">COUNTIF(Rules!$E$2:$E$213,"I")</f>
        <v>48</v>
      </c>
      <c r="C20" s="11" t="n">
        <f aca="false">B20/H13</f>
        <v>0.226415094339623</v>
      </c>
    </row>
    <row r="21" customFormat="false" ht="15" hidden="false" customHeight="false" outlineLevel="0" collapsed="false">
      <c r="A21" s="4" t="s">
        <v>637</v>
      </c>
      <c r="B21" s="4" t="n">
        <f aca="false">SUMPRODUCT((Rules!$F$2:$F$213&lt;&gt;"none")*(ISNUMBER(SEARCH("partial",Rules!$F$2:$F$213))=FALSE()))</f>
        <v>12</v>
      </c>
      <c r="C21" s="11" t="n">
        <f aca="false">B21/H13</f>
        <v>0.0566037735849057</v>
      </c>
    </row>
    <row r="22" customFormat="false" ht="15" hidden="false" customHeight="false" outlineLevel="0" collapsed="false">
      <c r="A22" s="4" t="s">
        <v>638</v>
      </c>
      <c r="B22" s="4" t="n">
        <f aca="false">COUNTIF(Rules!$F$2:$F$213,"&lt;&gt;none")</f>
        <v>22</v>
      </c>
      <c r="C22" s="11" t="n">
        <f aca="false">B22/H13</f>
        <v>0.10377358490566</v>
      </c>
    </row>
    <row r="23" customFormat="false" ht="15" hidden="false" customHeight="false" outlineLevel="0" collapsed="false">
      <c r="A23" s="4" t="s">
        <v>639</v>
      </c>
      <c r="B23" s="4" t="n">
        <f aca="false">COUNTIFS(Rules!$E$2:$E$213,"S",Rules!$F$2:$F$213,"&lt;&gt;none")</f>
        <v>3</v>
      </c>
      <c r="C23" s="11" t="n">
        <f aca="false">B23/H13</f>
        <v>0.0141509433962264</v>
      </c>
    </row>
    <row r="24" customFormat="false" ht="15" hidden="false" customHeight="false" outlineLevel="0" collapsed="false">
      <c r="A24" s="4" t="s">
        <v>640</v>
      </c>
      <c r="B24" s="4" t="n">
        <f aca="false">COUNTIF(Rules!$G$2:$G$213,"yes")</f>
        <v>119</v>
      </c>
      <c r="C24" s="11" t="n">
        <f aca="false">B24/H13</f>
        <v>0.561320754716981</v>
      </c>
    </row>
    <row r="25" customFormat="false" ht="15" hidden="false" customHeight="false" outlineLevel="0" collapsed="false">
      <c r="A25" s="4" t="s">
        <v>641</v>
      </c>
      <c r="B25" s="4" t="n">
        <f aca="false">COUNTIF(Rules!$G$2:$G$213,"ext")</f>
        <v>43</v>
      </c>
      <c r="C25" s="11" t="n">
        <f aca="false">B25/H13</f>
        <v>0.202830188679245</v>
      </c>
    </row>
    <row r="26" customFormat="false" ht="15" hidden="false" customHeight="false" outlineLevel="0" collapsed="false">
      <c r="A26" s="12" t="s">
        <v>642</v>
      </c>
      <c r="B26" s="12" t="n">
        <f aca="false">B19-B22</f>
        <v>142</v>
      </c>
      <c r="C26" s="11" t="n">
        <f aca="false">B26/H13</f>
        <v>0.669811320754717</v>
      </c>
    </row>
    <row r="28" customFormat="false" ht="15" hidden="false" customHeight="true" outlineLevel="0" collapsed="false">
      <c r="A28" s="13" t="s">
        <v>643</v>
      </c>
      <c r="B28" s="13"/>
      <c r="C28" s="13"/>
      <c r="D28" s="13"/>
      <c r="E28" s="13"/>
      <c r="F28" s="13"/>
      <c r="G28" s="13"/>
      <c r="H28" s="13"/>
      <c r="I28" s="13"/>
    </row>
    <row r="29" customFormat="false" ht="15" hidden="false" customHeight="false" outlineLevel="0" collapsed="false">
      <c r="A29" s="13"/>
      <c r="B29" s="13"/>
      <c r="C29" s="13"/>
      <c r="D29" s="13"/>
      <c r="E29" s="13"/>
      <c r="F29" s="13"/>
      <c r="G29" s="13"/>
      <c r="H29" s="13"/>
      <c r="I29" s="13"/>
    </row>
    <row r="30" customFormat="false" ht="15" hidden="false" customHeight="false" outlineLevel="0" collapsed="false">
      <c r="A30" s="13"/>
      <c r="B30" s="13"/>
      <c r="C30" s="13"/>
      <c r="D30" s="13"/>
      <c r="E30" s="13"/>
      <c r="F30" s="13"/>
      <c r="G30" s="13"/>
      <c r="H30" s="13"/>
      <c r="I30" s="13"/>
    </row>
    <row r="31" customFormat="false" ht="15" hidden="false" customHeight="false" outlineLevel="0" collapsed="false">
      <c r="A31" s="13"/>
      <c r="B31" s="13"/>
      <c r="C31" s="13"/>
      <c r="D31" s="13"/>
      <c r="E31" s="13"/>
      <c r="F31" s="13"/>
      <c r="G31" s="13"/>
      <c r="H31" s="13"/>
      <c r="I31" s="13"/>
    </row>
  </sheetData>
  <mergeCells count="1">
    <mergeCell ref="A28:I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4"/>
    <col collapsed="false" customWidth="true" hidden="false" outlineLevel="0" max="3" min="3" style="0" width="60"/>
    <col collapsed="false" customWidth="true" hidden="false" outlineLevel="0" max="4" min="4" style="0" width="36"/>
  </cols>
  <sheetData>
    <row r="1" customFormat="false" ht="15" hidden="false" customHeight="false" outlineLevel="0" collapsed="false">
      <c r="A1" s="10" t="s">
        <v>4</v>
      </c>
      <c r="B1" s="10" t="s">
        <v>618</v>
      </c>
      <c r="C1" s="10" t="s">
        <v>644</v>
      </c>
      <c r="D1" s="10" t="s">
        <v>645</v>
      </c>
    </row>
    <row r="2" customFormat="false" ht="15" hidden="false" customHeight="false" outlineLevel="0" collapsed="false">
      <c r="A2" s="14" t="s">
        <v>105</v>
      </c>
      <c r="B2" s="14" t="s">
        <v>621</v>
      </c>
      <c r="C2" s="14" t="s">
        <v>646</v>
      </c>
      <c r="D2" s="14" t="s">
        <v>647</v>
      </c>
    </row>
    <row r="3" customFormat="false" ht="15" hidden="false" customHeight="false" outlineLevel="0" collapsed="false">
      <c r="A3" s="14" t="s">
        <v>165</v>
      </c>
      <c r="B3" s="14" t="s">
        <v>622</v>
      </c>
      <c r="C3" s="14" t="s">
        <v>648</v>
      </c>
      <c r="D3" s="14" t="s">
        <v>647</v>
      </c>
    </row>
    <row r="4" customFormat="false" ht="15" hidden="false" customHeight="false" outlineLevel="0" collapsed="false">
      <c r="A4" s="14" t="s">
        <v>26</v>
      </c>
      <c r="B4" s="14" t="s">
        <v>623</v>
      </c>
      <c r="C4" s="14" t="s">
        <v>649</v>
      </c>
      <c r="D4" s="14" t="s">
        <v>647</v>
      </c>
    </row>
    <row r="5" customFormat="false" ht="15" hidden="false" customHeight="false" outlineLevel="0" collapsed="false">
      <c r="A5" s="14" t="s">
        <v>13</v>
      </c>
      <c r="B5" s="14" t="s">
        <v>624</v>
      </c>
      <c r="C5" s="14" t="s">
        <v>650</v>
      </c>
      <c r="D5" s="14" t="s">
        <v>651</v>
      </c>
    </row>
    <row r="6" customFormat="false" ht="15" hidden="false" customHeight="false" outlineLevel="0" collapsed="false">
      <c r="A6" s="14" t="s">
        <v>149</v>
      </c>
      <c r="B6" s="14" t="s">
        <v>625</v>
      </c>
      <c r="C6" s="14" t="s">
        <v>652</v>
      </c>
      <c r="D6" s="14" t="s">
        <v>653</v>
      </c>
    </row>
    <row r="7" customFormat="false" ht="15" hidden="false" customHeight="false" outlineLevel="0" collapsed="false">
      <c r="A7" s="14" t="s">
        <v>130</v>
      </c>
      <c r="B7" s="14" t="s">
        <v>626</v>
      </c>
      <c r="C7" s="14" t="s">
        <v>654</v>
      </c>
      <c r="D7" s="14" t="s">
        <v>655</v>
      </c>
    </row>
    <row r="8" customFormat="false" ht="15" hidden="false" customHeight="false" outlineLevel="0" collapsed="false">
      <c r="A8" s="14" t="s">
        <v>33</v>
      </c>
      <c r="B8" s="14" t="s">
        <v>627</v>
      </c>
      <c r="C8" s="14" t="s">
        <v>656</v>
      </c>
      <c r="D8" s="14" t="s">
        <v>657</v>
      </c>
    </row>
    <row r="9" customFormat="false" ht="15" hidden="false" customHeight="false" outlineLevel="0" collapsed="false">
      <c r="A9" s="14" t="s">
        <v>48</v>
      </c>
      <c r="B9" s="14" t="s">
        <v>628</v>
      </c>
      <c r="C9" s="14" t="s">
        <v>658</v>
      </c>
      <c r="D9" s="14" t="s">
        <v>659</v>
      </c>
    </row>
    <row r="10" customFormat="false" ht="15" hidden="false" customHeight="false" outlineLevel="0" collapsed="false">
      <c r="A10" s="14"/>
      <c r="B10" s="14"/>
      <c r="C10" s="14"/>
      <c r="D10" s="14"/>
    </row>
    <row r="11" customFormat="false" ht="15" hidden="false" customHeight="false" outlineLevel="0" collapsed="false">
      <c r="A11" s="14" t="s">
        <v>660</v>
      </c>
      <c r="B11" s="14"/>
      <c r="C11" s="14"/>
      <c r="D11" s="14"/>
    </row>
    <row r="12" customFormat="false" ht="124.6" hidden="false" customHeight="false" outlineLevel="0" collapsed="false">
      <c r="A12" s="14" t="s">
        <v>5</v>
      </c>
      <c r="B12" s="14" t="s">
        <v>661</v>
      </c>
      <c r="C12" s="14"/>
      <c r="D12" s="14"/>
    </row>
    <row r="13" customFormat="false" ht="135.8" hidden="false" customHeight="false" outlineLevel="0" collapsed="false">
      <c r="A13" s="14" t="s">
        <v>6</v>
      </c>
      <c r="B13" s="14" t="s">
        <v>662</v>
      </c>
      <c r="C13" s="14"/>
      <c r="D13" s="1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0"/>
  </cols>
  <sheetData>
    <row r="1" customFormat="false" ht="15" hidden="false" customHeight="false" outlineLevel="0" collapsed="false">
      <c r="A1" s="14" t="s">
        <v>663</v>
      </c>
    </row>
    <row r="2" customFormat="false" ht="15" hidden="false" customHeight="false" outlineLevel="0" collapsed="false">
      <c r="A2" s="14" t="s">
        <v>664</v>
      </c>
    </row>
    <row r="3" customFormat="false" ht="15" hidden="false" customHeight="false" outlineLevel="0" collapsed="false">
      <c r="A3" s="14" t="s">
        <v>665</v>
      </c>
    </row>
    <row r="4" customFormat="false" ht="15" hidden="false" customHeight="false" outlineLevel="0" collapsed="false">
      <c r="A4" s="14" t="s">
        <v>666</v>
      </c>
    </row>
    <row r="5" customFormat="false" ht="23.85" hidden="false" customHeight="false" outlineLevel="0" collapsed="false">
      <c r="A5" s="14" t="s">
        <v>667</v>
      </c>
    </row>
    <row r="6" customFormat="false" ht="15" hidden="false" customHeight="false" outlineLevel="0" collapsed="false">
      <c r="A6" s="14"/>
    </row>
    <row r="7" customFormat="false" ht="15" hidden="false" customHeight="false" outlineLevel="0" collapsed="false">
      <c r="A7" s="14" t="s">
        <v>668</v>
      </c>
    </row>
    <row r="8" customFormat="false" ht="15" hidden="false" customHeight="false" outlineLevel="0" collapsed="false">
      <c r="A8" s="14" t="s">
        <v>669</v>
      </c>
    </row>
    <row r="9" customFormat="false" ht="15" hidden="false" customHeight="false" outlineLevel="0" collapsed="false">
      <c r="A9" s="14" t="s">
        <v>670</v>
      </c>
    </row>
    <row r="10" customFormat="false" ht="15" hidden="false" customHeight="false" outlineLevel="0" collapsed="false">
      <c r="A10" s="14" t="s">
        <v>671</v>
      </c>
    </row>
    <row r="11" customFormat="false" ht="15" hidden="false" customHeight="false" outlineLevel="0" collapsed="false">
      <c r="A11" s="14" t="s">
        <v>672</v>
      </c>
    </row>
    <row r="12" customFormat="false" ht="15" hidden="false" customHeight="false" outlineLevel="0" collapsed="false">
      <c r="A12" s="14" t="s">
        <v>673</v>
      </c>
    </row>
    <row r="13" customFormat="false" ht="15" hidden="false" customHeight="false" outlineLevel="0" collapsed="false">
      <c r="A13" s="14" t="s">
        <v>674</v>
      </c>
    </row>
    <row r="14" customFormat="false" ht="15" hidden="false" customHeight="false" outlineLevel="0" collapsed="false">
      <c r="A14" s="14" t="s">
        <v>675</v>
      </c>
    </row>
    <row r="15" customFormat="false" ht="15" hidden="false" customHeight="false" outlineLevel="0" collapsed="false">
      <c r="A15" s="14" t="s">
        <v>676</v>
      </c>
    </row>
    <row r="16" customFormat="false" ht="15" hidden="false" customHeight="false" outlineLevel="0" collapsed="false">
      <c r="A16" s="14"/>
    </row>
    <row r="17" customFormat="false" ht="15" hidden="false" customHeight="false" outlineLevel="0" collapsed="false">
      <c r="A17" s="14" t="s">
        <v>677</v>
      </c>
    </row>
    <row r="18" customFormat="false" ht="15" hidden="false" customHeight="false" outlineLevel="0" collapsed="false">
      <c r="A18" s="14" t="s">
        <v>678</v>
      </c>
    </row>
    <row r="19" customFormat="false" ht="15" hidden="false" customHeight="false" outlineLevel="0" collapsed="false">
      <c r="A19" s="14" t="s">
        <v>679</v>
      </c>
    </row>
    <row r="20" customFormat="false" ht="15" hidden="false" customHeight="false" outlineLevel="0" collapsed="false">
      <c r="A20" s="14" t="s">
        <v>680</v>
      </c>
    </row>
    <row r="21" customFormat="false" ht="15" hidden="false" customHeight="false" outlineLevel="0" collapsed="false">
      <c r="A21" s="14" t="s">
        <v>681</v>
      </c>
    </row>
    <row r="22" customFormat="false" ht="15" hidden="false" customHeight="false" outlineLevel="0" collapsed="false">
      <c r="A22" s="14"/>
    </row>
    <row r="23" customFormat="false" ht="15" hidden="false" customHeight="false" outlineLevel="0" collapsed="false">
      <c r="A23" s="14" t="s">
        <v>682</v>
      </c>
    </row>
    <row r="24" customFormat="false" ht="15" hidden="false" customHeight="false" outlineLevel="0" collapsed="false">
      <c r="A24" s="14" t="s">
        <v>683</v>
      </c>
    </row>
    <row r="25" customFormat="false" ht="23.85" hidden="false" customHeight="false" outlineLevel="0" collapsed="false">
      <c r="A25" s="14" t="s">
        <v>684</v>
      </c>
    </row>
    <row r="26" customFormat="false" ht="15" hidden="false" customHeight="false" outlineLevel="0" collapsed="false">
      <c r="A26" s="14" t="s">
        <v>685</v>
      </c>
    </row>
    <row r="27" customFormat="false" ht="15" hidden="false" customHeight="false" outlineLevel="0" collapsed="false">
      <c r="A27" s="14" t="s">
        <v>686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2026-09-12T11:56:34Z</dcterms:created>
  <dc:creator>openpyxl</dc:creator>
  <dc:description/>
  <dc:language>en-US</dc:language>
  <cp:lastModifiedBy/>
  <dcterms:modified xsi:type="dcterms:W3CDTF">2026-09-12T11:56:34Z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